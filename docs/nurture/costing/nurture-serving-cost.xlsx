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d558c4bb2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17e26f2ca7ed4e63"/>
    <x:sheet xmlns:r="http://schemas.openxmlformats.org/officeDocument/2006/relationships" name="Costing" sheetId="2" r:id="R96d4afb7c647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0.00"/>
    <x:numFmt numFmtId="203" formatCode="#,##0.00;(#,##0.00);&quot;–&quot;"/>
    <x:numFmt numFmtId="204" formatCode="&quot;₹&quot;#,##0.00;(&quot;₹&quot;#,##0.00);&quot;–&quot;"/>
  </x:numFmts>
  <x:fonts count="7">
    <x:font>
      <x:sz val="11"/>
      <x:name val="Carlito"/>
    </x:font>
    <x:font>
      <x:sz val="10"/>
      <x:color rgb="FF352D28"/>
      <x:name val="Arial"/>
    </x:font>
    <x:font>
      <x:sz val="10"/>
      <x:color rgb="FF70675F"/>
      <x:name val="Arial"/>
    </x:font>
    <x:font>
      <x:b/>
      <x:sz val="15"/>
      <x:color rgb="FF352D28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352D2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352D28"/>
      </x:patternFill>
    </x:fill>
    <x:fill>
      <x:patternFill patternType="solid">
        <x:fgColor rgb="FFF2EEE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68F78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right" vertical="center"/>
    </x:xf>
    <x:xf numFmtId="204" fontId="6" fillId="4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4" fillId="2" borderId="0" xfId="0" applyNumberFormat="1" applyFont="1" applyFill="1" applyBorder="1" applyAlignment="1">
      <x:alignment horizontal="right" vertical="center"/>
    </x:xf>
    <x:xf numFmtId="200" fontId="6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203" fontId="4" fillId="2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cdefeb3704b25" /><Relationship Type="http://schemas.openxmlformats.org/officeDocument/2006/relationships/theme" Target="/xl/theme/theme1.xml" Id="R9b18afd117a24b22" /><Relationship Type="http://schemas.openxmlformats.org/officeDocument/2006/relationships/sharedStrings" Target="/xl/sharedStrings.xml" Id="R2bbcf3fe6741416e" /><Relationship Type="http://schemas.openxmlformats.org/officeDocument/2006/relationships/worksheet" Target="/xl/worksheets/sheet1.xml" Id="R17e26f2ca7ed4e63" /><Relationship Type="http://schemas.openxmlformats.org/officeDocument/2006/relationships/worksheet" Target="/xl/worksheets/sheet2.xml" Id="R96d4afb7c647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C4A"/>
  </x:sheetPr>
  <x:sheetViews>
    <x:sheetView showGridLines="0" workbookViewId="0"/>
  </x:sheetViews>
  <x:sheetFormatPr defaultRowHeight="15"/>
  <x:cols>
    <x:col min="1" max="1" width="3" hidden="0" customWidth="1"/>
    <x:col min="2" max="2" width="4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105" hidden="0" customWidth="1"/>
  </x:cols>
  <x:sheetData>
    <x:row r="1" ht="23" customHeight="1">
      <x:c r="A1" s="2"/>
      <x:c r="B1" s="2"/>
      <x:c r="C1" s="33"/>
      <x:c r="D1" s="33"/>
      <x:c r="E1" s="33"/>
      <x:c r="F1" s="33"/>
      <x:c r="G1" s="2"/>
      <x:c r="H1" s="4"/>
    </x:row>
    <x:row r="2" ht="23" customHeight="1">
      <x:c r="A2" s="2"/>
      <x:c r="B2" s="6" t="str">
        <x:v>Nurture price per serving</x:v>
      </x:c>
      <x:c r="C2" s="34"/>
      <x:c r="D2" s="34"/>
      <x:c r="E2" s="34"/>
      <x:c r="F2" s="34"/>
      <x:c r="G2" s="2"/>
      <x:c r="H2" s="4"/>
    </x:row>
    <x:row r="3" ht="23" customHeight="1">
      <x:c r="A3" s="2"/>
      <x:c r="B3" s="2" t="str">
        <x:v>15 g protein target. INR. Prices include assumed 5% output GST.</x:v>
      </x:c>
      <x:c r="C3" s="33"/>
      <x:c r="D3" s="33"/>
      <x:c r="E3" s="33"/>
      <x:c r="F3" s="33"/>
      <x:c r="G3" s="2"/>
      <x:c r="H3" s="4"/>
    </x:row>
    <x:row r="4" ht="23" customHeight="1">
      <x:c r="A4" s="2"/>
      <x:c r="B4" s="2"/>
      <x:c r="C4" s="33"/>
      <x:c r="D4" s="33"/>
      <x:c r="E4" s="33"/>
      <x:c r="F4" s="33"/>
      <x:c r="G4" s="2"/>
      <x:c r="H4" s="4"/>
    </x:row>
    <x:row r="5" ht="27" customHeight="1">
      <x:c r="A5" s="2"/>
      <x:c r="B5" s="11" t="str">
        <x:v>Metric</x:v>
      </x:c>
      <x:c r="C5" s="35" t="str">
        <x:v>INR / serving</x:v>
      </x:c>
      <x:c r="D5" s="35" t="str">
        <x:v>INR / 30 servings</x:v>
      </x:c>
      <x:c r="E5" s="33"/>
      <x:c r="F5" s="33"/>
      <x:c r="G5" s="2"/>
      <x:c r="H5" s="4"/>
    </x:row>
    <x:row r="6" ht="23" customHeight="1">
      <x:c r="A6" s="2"/>
      <x:c r="B6" s="22" t="str">
        <x:v>Recurring packed product cost</x:v>
      </x:c>
      <x:c r="C6" s="36" t="n">
        <x:f>'Costing'!F31</x:f>
        <x:v>82.97272959183671</x:v>
      </x:c>
      <x:c r="D6" s="36" t="n">
        <x:f>C6*$C$15</x:f>
        <x:v>2489.1818877551013</x:v>
      </x:c>
      <x:c r="E6" s="33"/>
      <x:c r="F6" s="33"/>
      <x:c r="G6" s="2"/>
      <x:c r="H6" s="4" t="str">
        <x:v>Indicative model, with founder WPC cost; protein concentration and other allowances remain unconfirmed.</x:v>
      </x:c>
    </x:row>
    <x:row r="7" ht="23" customHeight="1">
      <x:c r="A7" s="2"/>
      <x:c r="B7" s="22" t="str">
        <x:v>Including development recovery</x:v>
      </x:c>
      <x:c r="C7" s="36" t="n">
        <x:f>'Costing'!F34</x:f>
        <x:v>87.97272959183671</x:v>
      </x:c>
      <x:c r="D7" s="36" t="n">
        <x:f>C7*$C$15</x:f>
        <x:v>2639.1818877551013</x:v>
      </x:c>
      <x:c r="E7" s="33"/>
      <x:c r="F7" s="33"/>
      <x:c r="G7" s="2"/>
      <x:c r="H7" s="4"/>
    </x:row>
    <x:row r="8" ht="23" customHeight="1">
      <x:c r="A8" s="2"/>
      <x:c r="B8" s="22" t="str">
        <x:v>First-order price for 20% contribution</x:v>
      </x:c>
      <x:c r="C8" s="36" t="n">
        <x:f>C41</x:f>
        <x:v>156.05581827592692</x:v>
      </x:c>
      <x:c r="D8" s="36" t="n">
        <x:f>C8*$C$15</x:f>
        <x:v>4681.674548277808</x:v>
      </x:c>
      <x:c r="E8" s="33"/>
      <x:c r="F8" s="33"/>
      <x:c r="G8" s="2"/>
      <x:c r="H8" s="4" t="str">
        <x:v>Contribution is after variable costs and development allocation, before salaries, rent, interest and income tax.</x:v>
      </x:c>
    </x:row>
    <x:row r="9" ht="23" customHeight="1">
      <x:c r="A9" s="2"/>
      <x:c r="B9" s="22" t="str">
        <x:v>Repeat-order price for 20% contribution</x:v>
      </x:c>
      <x:c r="C9" s="36" t="n">
        <x:f>D41</x:f>
        <x:v>132.5380317146621</x:v>
      </x:c>
      <x:c r="D9" s="36" t="n">
        <x:f>C9*$C$15</x:f>
        <x:v>3976.1409514398633</x:v>
      </x:c>
      <x:c r="E9" s="33"/>
      <x:c r="F9" s="33"/>
      <x:c r="G9" s="2"/>
      <x:c r="H9" s="4"/>
    </x:row>
    <x:row r="10" ht="23" customHeight="1">
      <x:c r="A10" s="2"/>
      <x:c r="B10" s="22" t="str">
        <x:v>Modelled first-order selling price</x:v>
      </x:c>
      <x:c r="C10" s="36" t="n">
        <x:f>C44</x:f>
        <x:v>159</x:v>
      </x:c>
      <x:c r="D10" s="36" t="n">
        <x:f>C10*$C$15</x:f>
        <x:v>4770</x:v>
      </x:c>
      <x:c r="E10" s="33"/>
      <x:c r="F10" s="33"/>
      <x:c r="G10" s="2"/>
      <x:c r="H10" s="4"/>
    </x:row>
    <x:row r="11" ht="23" customHeight="1">
      <x:c r="A11" s="2"/>
      <x:c r="B11" s="22" t="str">
        <x:v>Modelled repeat selling price</x:v>
      </x:c>
      <x:c r="C11" s="36" t="n">
        <x:f>D44</x:f>
        <x:v>139</x:v>
      </x:c>
      <x:c r="D11" s="36" t="n">
        <x:f>C11*$C$15</x:f>
        <x:v>4170</x:v>
      </x:c>
      <x:c r="E11" s="33"/>
      <x:c r="F11" s="33"/>
      <x:c r="G11" s="2"/>
      <x:c r="H11" s="4"/>
    </x:row>
    <x:row r="12" ht="23" customHeight="1">
      <x:c r="A12" s="2"/>
      <x:c r="B12" s="2"/>
      <x:c r="C12" s="33"/>
      <x:c r="D12" s="33"/>
      <x:c r="E12" s="33"/>
      <x:c r="F12" s="33"/>
      <x:c r="G12" s="2"/>
      <x:c r="H12" s="4"/>
    </x:row>
    <x:row r="13" ht="23" customHeight="1">
      <x:c r="A13" s="2"/>
      <x:c r="B13" s="2"/>
      <x:c r="C13" s="33"/>
      <x:c r="D13" s="33"/>
      <x:c r="E13" s="33"/>
      <x:c r="F13" s="33"/>
      <x:c r="G13" s="2"/>
      <x:c r="H13" s="4"/>
    </x:row>
    <x:row r="14" ht="27" customHeight="1">
      <x:c r="A14" s="2"/>
      <x:c r="B14" s="11" t="str">
        <x:v>Commercial assumptions</x:v>
      </x:c>
      <x:c r="C14" s="35"/>
      <x:c r="D14" s="35"/>
      <x:c r="E14" s="33"/>
      <x:c r="F14" s="33"/>
      <x:c r="G14" s="2"/>
      <x:c r="H14" s="4"/>
    </x:row>
    <x:row r="15" ht="23" customHeight="1">
      <x:c r="A15" s="2"/>
      <x:c r="B15" s="2" t="str">
        <x:v>Servings per order</x:v>
      </x:c>
      <x:c r="C15" s="37" t="n">
        <x:v>30</x:v>
      </x:c>
      <x:c r="D15" s="33"/>
      <x:c r="E15" s="33"/>
      <x:c r="F15" s="33"/>
      <x:c r="G15" s="2"/>
      <x:c r="H15" s="4" t="str">
        <x:v>30-serving refill pouch; shipping and acquisition are allocated per order.</x:v>
      </x:c>
    </x:row>
    <x:row r="16" ht="23" customHeight="1">
      <x:c r="A16" s="2"/>
      <x:c r="B16" s="2" t="str">
        <x:v>Output GST assumption</x:v>
      </x:c>
      <x:c r="C16" s="38" t="n">
        <x:v>0.05</x:v>
      </x:c>
      <x:c r="D16" s="33"/>
      <x:c r="E16" s="33"/>
      <x:c r="F16" s="33"/>
      <x:c r="G16" s="2"/>
      <x:c r="H16" s="4" t="str">
        <x:v>Working rate only. Confirm the final product HSN/classification. Input WPC GST alone does not decide output GST.</x:v>
      </x:c>
    </x:row>
    <x:row r="17" ht="23" customHeight="1">
      <x:c r="A17" s="2"/>
      <x:c r="B17" s="2" t="str">
        <x:v>Payment fee on customer payment</x:v>
      </x:c>
      <x:c r="C17" s="38" t="n">
        <x:v>0.02</x:v>
      </x:c>
      <x:c r="D17" s="33"/>
      <x:c r="E17" s="33"/>
      <x:c r="F17" s="33"/>
      <x:c r="G17" s="2"/>
      <x:c r="H17" s="4" t="str">
        <x:v>Net economic fee assumption; replace with actual payment-provider quote.</x:v>
      </x:c>
    </x:row>
    <x:row r="18" ht="23" customHeight="1">
      <x:c r="A18" s="2"/>
      <x:c r="B18" s="2" t="str">
        <x:v>Returns / damage reserve on net sales</x:v>
      </x:c>
      <x:c r="C18" s="38" t="n">
        <x:v>0.02</x:v>
      </x:c>
      <x:c r="D18" s="33"/>
      <x:c r="E18" s="33"/>
      <x:c r="F18" s="33"/>
      <x:c r="G18" s="2"/>
      <x:c r="H18" s="4" t="str">
        <x:v>Net economic loss assumption, in addition to normal manufacturing yield loss.</x:v>
      </x:c>
    </x:row>
    <x:row r="19" ht="23" customHeight="1">
      <x:c r="A19" s="2"/>
      <x:c r="B19" s="2" t="str">
        <x:v>Target contribution / net sales</x:v>
      </x:c>
      <x:c r="C19" s="38" t="n">
        <x:v>0.2</x:v>
      </x:c>
      <x:c r="D19" s="33"/>
      <x:c r="E19" s="33"/>
      <x:c r="F19" s="33"/>
      <x:c r="G19" s="2"/>
      <x:c r="H19" s="4" t="str">
        <x:v>Must fund fixed overhead and profit; this is not net profit.</x:v>
      </x:c>
    </x:row>
    <x:row r="20" ht="23" customHeight="1">
      <x:c r="A20" s="2"/>
      <x:c r="B20" s="2" t="str">
        <x:v>Outbound shipping per order, INR</x:v>
      </x:c>
      <x:c r="C20" s="37" t="n">
        <x:v>120</x:v>
      </x:c>
      <x:c r="D20" s="33"/>
      <x:c r="E20" s="33"/>
      <x:c r="F20" s="33"/>
      <x:c r="G20" s="2"/>
      <x:c r="H20" s="4" t="str">
        <x:v>Planning allowance, shipping included in modelled selling price.</x:v>
      </x:c>
    </x:row>
    <x:row r="21" ht="23" customHeight="1">
      <x:c r="A21" s="2"/>
      <x:c r="B21" s="2" t="str">
        <x:v>Pick, pack and outer carton / order, INR</x:v>
      </x:c>
      <x:c r="C21" s="37" t="n">
        <x:v>25</x:v>
      </x:c>
      <x:c r="D21" s="33"/>
      <x:c r="E21" s="33"/>
      <x:c r="F21" s="33"/>
      <x:c r="G21" s="2"/>
      <x:c r="H21" s="4" t="str">
        <x:v>Planning allowance; separate from the primary pouch.</x:v>
      </x:c>
    </x:row>
    <x:row r="22" ht="23" customHeight="1">
      <x:c r="A22" s="2"/>
      <x:c r="B22" s="2" t="str">
        <x:v>First-order acquisition cost / order, INR</x:v>
      </x:c>
      <x:c r="C22" s="37" t="n">
        <x:v>600</x:v>
      </x:c>
      <x:c r="D22" s="33"/>
      <x:c r="E22" s="33"/>
      <x:c r="F22" s="33"/>
      <x:c r="G22" s="2"/>
      <x:c r="H22" s="4" t="str">
        <x:v>Planning allowance, not measured CAC. INR20 per serving at 30 servings/order.</x:v>
      </x:c>
    </x:row>
    <x:row r="23" ht="23" customHeight="1">
      <x:c r="A23" s="2"/>
      <x:c r="B23" s="2" t="str">
        <x:v>Repeat-order retention spend / order, INR</x:v>
      </x:c>
      <x:c r="C23" s="37" t="n">
        <x:v>90</x:v>
      </x:c>
      <x:c r="D23" s="33"/>
      <x:c r="E23" s="33"/>
      <x:c r="F23" s="33"/>
      <x:c r="G23" s="2"/>
      <x:c r="H23" s="4" t="str">
        <x:v>Planning allowance; first-order CAC is not charged again.</x:v>
      </x:c>
    </x:row>
    <x:row r="24" ht="23" customHeight="1">
      <x:c r="A24" s="2"/>
      <x:c r="B24" s="2"/>
      <x:c r="C24" s="33"/>
      <x:c r="D24" s="33"/>
      <x:c r="E24" s="33"/>
      <x:c r="F24" s="33"/>
      <x:c r="G24" s="2"/>
      <x:c r="H24" s="4"/>
    </x:row>
    <x:row r="25" ht="23" customHeight="1">
      <x:c r="A25" s="2"/>
      <x:c r="B25" s="2" t="str">
        <x:v>Prices use one-time development recovery</x:v>
      </x:c>
      <x:c r="C25" s="37" t="n">
        <x:v>1</x:v>
      </x:c>
      <x:c r="D25" s="33"/>
      <x:c r="E25" s="33"/>
      <x:c r="F25" s="33"/>
      <x:c r="G25" s="2"/>
      <x:c r="H25" s="4" t="str">
        <x:v>1 = include development allocation; 0 = recurring cost only. This does not change upfront cash needed.</x:v>
      </x:c>
    </x:row>
    <x:row r="26" ht="23" customHeight="1">
      <x:c r="A26" s="2"/>
      <x:c r="B26" s="2" t="str">
        <x:v>Selling price floor denominator</x:v>
      </x:c>
      <x:c r="C26" s="33" t="n">
        <x:f>(1-C18-C19)/(1+C16)-C17</x:f>
        <x:v>0.7228571428571429</x:v>
      </x:c>
      <x:c r="D26" s="33"/>
      <x:c r="E26" s="33"/>
      <x:c r="F26" s="33"/>
      <x:c r="G26" s="2"/>
      <x:c r="H26" s="4"/>
    </x:row>
    <x:row r="27" ht="23" customHeight="1">
      <x:c r="A27" s="2"/>
      <x:c r="B27" s="2"/>
      <x:c r="C27" s="33"/>
      <x:c r="D27" s="33"/>
      <x:c r="E27" s="33"/>
      <x:c r="F27" s="33"/>
      <x:c r="G27" s="2"/>
      <x:c r="H27" s="4"/>
    </x:row>
    <x:row r="28" ht="23" customHeight="1">
      <x:c r="A28" s="2"/>
      <x:c r="B28" s="2"/>
      <x:c r="C28" s="33"/>
      <x:c r="D28" s="33"/>
      <x:c r="E28" s="33"/>
      <x:c r="F28" s="33"/>
      <x:c r="G28" s="2"/>
      <x:c r="H28" s="4"/>
    </x:row>
    <x:row r="29" ht="27" customHeight="1">
      <x:c r="A29" s="2"/>
      <x:c r="B29" s="11" t="str">
        <x:v>Per-serving economics</x:v>
      </x:c>
      <x:c r="C29" s="50" t="str">
        <x:v>First order</x:v>
      </x:c>
      <x:c r="D29" s="50" t="str">
        <x:v>Repeat order</x:v>
      </x:c>
      <x:c r="E29" s="33"/>
      <x:c r="F29" s="33"/>
      <x:c r="G29" s="2"/>
      <x:c r="H29" s="4"/>
    </x:row>
    <x:row r="30" ht="23" customHeight="1">
      <x:c r="A30" s="2"/>
      <x:c r="B30" s="2" t="str">
        <x:v>Recurring product cost</x:v>
      </x:c>
      <x:c r="C30" s="39" t="n">
        <x:f>'Costing'!F31</x:f>
        <x:v>82.97272959183671</x:v>
      </x:c>
      <x:c r="D30" s="39" t="n">
        <x:f>'Costing'!F31</x:f>
        <x:v>82.97272959183671</x:v>
      </x:c>
      <x:c r="E30" s="33"/>
      <x:c r="F30" s="33"/>
      <x:c r="G30" s="2"/>
      <x:c r="H30" s="4"/>
    </x:row>
    <x:row r="31" ht="23" customHeight="1">
      <x:c r="A31" s="2"/>
      <x:c r="B31" s="2" t="str">
        <x:v>Development allocation</x:v>
      </x:c>
      <x:c r="C31" s="39" t="n">
        <x:f>'Costing'!F33*$C$25</x:f>
        <x:v>5</x:v>
      </x:c>
      <x:c r="D31" s="39" t="n">
        <x:f>'Costing'!F33*$C$25</x:f>
        <x:v>5</x:v>
      </x:c>
      <x:c r="E31" s="33"/>
      <x:c r="F31" s="33"/>
      <x:c r="G31" s="2"/>
      <x:c r="H31" s="4"/>
    </x:row>
    <x:row r="32" ht="23" customHeight="1">
      <x:c r="A32" s="2"/>
      <x:c r="B32" s="2" t="str">
        <x:v>Outbound shipping</x:v>
      </x:c>
      <x:c r="C32" s="39" t="n">
        <x:f>$C$20/$C$15</x:f>
        <x:v>4</x:v>
      </x:c>
      <x:c r="D32" s="39" t="n">
        <x:f>$C$20/$C$15</x:f>
        <x:v>4</x:v>
      </x:c>
      <x:c r="E32" s="33"/>
      <x:c r="F32" s="33"/>
      <x:c r="G32" s="2"/>
      <x:c r="H32" s="4"/>
    </x:row>
    <x:row r="33" ht="23" customHeight="1">
      <x:c r="A33" s="2"/>
      <x:c r="B33" s="2" t="str">
        <x:v>Order handling / outer carton</x:v>
      </x:c>
      <x:c r="C33" s="39" t="n">
        <x:f>$C$21/$C$15</x:f>
        <x:v>0.8333333333333334</x:v>
      </x:c>
      <x:c r="D33" s="39" t="n">
        <x:f>$C$21/$C$15</x:f>
        <x:v>0.8333333333333334</x:v>
      </x:c>
      <x:c r="E33" s="33"/>
      <x:c r="F33" s="33"/>
      <x:c r="G33" s="2"/>
      <x:c r="H33" s="4"/>
    </x:row>
    <x:row r="34" ht="23" customHeight="1">
      <x:c r="A34" s="2"/>
      <x:c r="B34" s="2" t="str">
        <x:v>Acquisition or retention spend</x:v>
      </x:c>
      <x:c r="C34" s="39" t="n">
        <x:f>$C$22/$C$15</x:f>
        <x:v>20</x:v>
      </x:c>
      <x:c r="D34" s="39" t="n">
        <x:f>$C$23/$C$15</x:f>
        <x:v>3</x:v>
      </x:c>
      <x:c r="E34" s="33"/>
      <x:c r="F34" s="33"/>
      <x:c r="G34" s="2"/>
      <x:c r="H34" s="4"/>
    </x:row>
    <x:row r="35" ht="23" customHeight="1">
      <x:c r="A35" s="2"/>
      <x:c r="B35" s="22" t="str">
        <x:v>Fixed INR costs per serving</x:v>
      </x:c>
      <x:c r="C35" s="36" t="n">
        <x:f>SUM(C30:C34)</x:f>
        <x:v>112.80606292517004</x:v>
      </x:c>
      <x:c r="D35" s="36" t="n">
        <x:f>SUM(D30:D34)</x:f>
        <x:v>95.80606292517004</x:v>
      </x:c>
      <x:c r="E35" s="33"/>
      <x:c r="F35" s="33"/>
      <x:c r="G35" s="2"/>
      <x:c r="H35" s="4"/>
    </x:row>
    <x:row r="36" ht="23" customHeight="1">
      <x:c r="A36" s="2"/>
      <x:c r="B36" s="2"/>
      <x:c r="C36" s="39"/>
      <x:c r="D36" s="39"/>
      <x:c r="E36" s="33"/>
      <x:c r="F36" s="33"/>
      <x:c r="G36" s="2"/>
      <x:c r="H36" s="4"/>
    </x:row>
    <x:row r="37" ht="23" customHeight="1">
      <x:c r="A37" s="2"/>
      <x:c r="B37" s="2"/>
      <x:c r="C37" s="39"/>
      <x:c r="D37" s="39"/>
      <x:c r="E37" s="33"/>
      <x:c r="F37" s="33"/>
      <x:c r="G37" s="2"/>
      <x:c r="H37" s="4"/>
    </x:row>
    <x:row r="38" ht="23" customHeight="1">
      <x:c r="A38" s="2"/>
      <x:c r="B38" s="2"/>
      <x:c r="C38" s="39"/>
      <x:c r="D38" s="39"/>
      <x:c r="E38" s="33"/>
      <x:c r="F38" s="33"/>
      <x:c r="G38" s="2"/>
      <x:c r="H38" s="4"/>
    </x:row>
    <x:row r="39" ht="23" customHeight="1">
      <x:c r="A39" s="2"/>
      <x:c r="B39" s="2"/>
      <x:c r="C39" s="39"/>
      <x:c r="D39" s="39"/>
      <x:c r="E39" s="33"/>
      <x:c r="F39" s="33"/>
      <x:c r="G39" s="2"/>
      <x:c r="H39" s="4"/>
    </x:row>
    <x:row r="40" ht="23" customHeight="1">
      <x:c r="A40" s="2"/>
      <x:c r="B40" s="2"/>
      <x:c r="C40" s="39"/>
      <x:c r="D40" s="39"/>
      <x:c r="E40" s="33"/>
      <x:c r="F40" s="33"/>
      <x:c r="G40" s="2"/>
      <x:c r="H40" s="4"/>
    </x:row>
    <x:row r="41" ht="23" customHeight="1">
      <x:c r="A41" s="2"/>
      <x:c r="B41" s="22" t="str">
        <x:v>Price needed for target contribution</x:v>
      </x:c>
      <x:c r="C41" s="36" t="n">
        <x:f>C35/$C$26</x:f>
        <x:v>156.05581827592692</x:v>
      </x:c>
      <x:c r="D41" s="36" t="n">
        <x:f>D35/$C$26</x:f>
        <x:v>132.5380317146621</x:v>
      </x:c>
      <x:c r="E41" s="33"/>
      <x:c r="F41" s="33"/>
      <x:c r="G41" s="2"/>
      <x:c r="H41" s="4"/>
    </x:row>
    <x:row r="42" ht="23" customHeight="1">
      <x:c r="A42" s="2"/>
      <x:c r="B42" s="22" t="str">
        <x:v>Price needed per order</x:v>
      </x:c>
      <x:c r="C42" s="36" t="n">
        <x:f>C41*$C$15</x:f>
        <x:v>4681.674548277808</x:v>
      </x:c>
      <x:c r="D42" s="36" t="n">
        <x:f>D41*$C$15</x:f>
        <x:v>3976.1409514398633</x:v>
      </x:c>
      <x:c r="E42" s="33"/>
      <x:c r="F42" s="33"/>
      <x:c r="G42" s="2"/>
      <x:c r="H42" s="4"/>
    </x:row>
    <x:row r="43" ht="23" customHeight="1">
      <x:c r="A43" s="2"/>
      <x:c r="B43" s="2"/>
      <x:c r="C43" s="39"/>
      <x:c r="D43" s="39"/>
      <x:c r="E43" s="33"/>
      <x:c r="F43" s="33"/>
      <x:c r="G43" s="2"/>
      <x:c r="H43" s="4"/>
    </x:row>
    <x:row r="44" ht="23" customHeight="1">
      <x:c r="A44" s="2"/>
      <x:c r="B44" s="2" t="str">
        <x:v>Chosen consumer price per serving</x:v>
      </x:c>
      <x:c r="C44" s="40" t="n">
        <x:v>159</x:v>
      </x:c>
      <x:c r="D44" s="40" t="n">
        <x:v>139</x:v>
      </x:c>
      <x:c r="E44" s="33"/>
      <x:c r="F44" s="33"/>
      <x:c r="G44" s="2"/>
      <x:c r="H44" s="4"/>
    </x:row>
    <x:row r="45" ht="23" customHeight="1">
      <x:c r="A45" s="2"/>
      <x:c r="B45" s="2" t="str">
        <x:v>Revenue excluding output GST</x:v>
      </x:c>
      <x:c r="C45" s="39" t="n">
        <x:f>C44/(1+$C$16)</x:f>
        <x:v>151.42857142857142</x:v>
      </x:c>
      <x:c r="D45" s="39" t="n">
        <x:f>D44/(1+$C$16)</x:f>
        <x:v>132.38095238095238</x:v>
      </x:c>
      <x:c r="E45" s="33"/>
      <x:c r="F45" s="33"/>
      <x:c r="G45" s="2"/>
      <x:c r="H45" s="4"/>
    </x:row>
    <x:row r="46" ht="23" customHeight="1">
      <x:c r="A46" s="2"/>
      <x:c r="B46" s="2" t="str">
        <x:v>Payment fee</x:v>
      </x:c>
      <x:c r="C46" s="39" t="n">
        <x:f>C44*$C$17</x:f>
        <x:v>3.18</x:v>
      </x:c>
      <x:c r="D46" s="39" t="n">
        <x:f>D44*$C$17</x:f>
        <x:v>2.7800000000000002</x:v>
      </x:c>
      <x:c r="E46" s="33"/>
      <x:c r="F46" s="33"/>
      <x:c r="G46" s="2"/>
      <x:c r="H46" s="4"/>
    </x:row>
    <x:row r="47" ht="23" customHeight="1">
      <x:c r="A47" s="2"/>
      <x:c r="B47" s="2" t="str">
        <x:v>Returns / damage reserve</x:v>
      </x:c>
      <x:c r="C47" s="39" t="n">
        <x:f>C45*$C$18</x:f>
        <x:v>3.0285714285714285</x:v>
      </x:c>
      <x:c r="D47" s="39" t="n">
        <x:f>D45*$C$18</x:f>
        <x:v>2.6476190476190475</x:v>
      </x:c>
      <x:c r="E47" s="33"/>
      <x:c r="F47" s="33"/>
      <x:c r="G47" s="2"/>
      <x:c r="H47" s="4"/>
    </x:row>
    <x:row r="48" ht="23" customHeight="1">
      <x:c r="A48" s="2"/>
      <x:c r="B48" s="22" t="str">
        <x:v>Contribution per serving</x:v>
      </x:c>
      <x:c r="C48" s="36" t="n">
        <x:f>C45-C35-SUM(C46:C47)</x:f>
        <x:v>32.413937074829946</x:v>
      </x:c>
      <x:c r="D48" s="36" t="n">
        <x:f>D45-D35-SUM(D46:D47)</x:f>
        <x:v>31.147270408163294</x:v>
      </x:c>
      <x:c r="E48" s="33"/>
      <x:c r="F48" s="33"/>
      <x:c r="G48" s="2"/>
      <x:c r="H48" s="4"/>
    </x:row>
    <x:row r="49" ht="23" customHeight="1">
      <x:c r="A49" s="2"/>
      <x:c r="B49" s="22" t="str">
        <x:v>Contribution / net sales</x:v>
      </x:c>
      <x:c r="C49" s="41" t="n">
        <x:f>C48/C45</x:f>
        <x:v>0.21405430143755627</x:v>
      </x:c>
      <x:c r="D49" s="41" t="n">
        <x:f>D48/D45</x:f>
        <x:v>0.23528513617677307</x:v>
      </x:c>
      <x:c r="E49" s="33"/>
      <x:c r="F49" s="33"/>
      <x:c r="G49" s="2"/>
      <x:c r="H49" s="4"/>
    </x:row>
    <x:row r="50" ht="23" customHeight="1">
      <x:c r="A50" s="2"/>
      <x:c r="B50" s="22" t="str">
        <x:v>Customer order total</x:v>
      </x:c>
      <x:c r="C50" s="36" t="n">
        <x:f>C44*$C$15</x:f>
        <x:v>4770</x:v>
      </x:c>
      <x:c r="D50" s="36" t="n">
        <x:f>D44*$C$15</x:f>
        <x:v>4170</x:v>
      </x:c>
      <x:c r="E50" s="33"/>
      <x:c r="F50" s="33"/>
      <x:c r="G50" s="2"/>
      <x:c r="H50" s="4"/>
    </x:row>
    <x:row r="51" ht="23" customHeight="1">
      <x:c r="A51" s="2"/>
      <x:c r="B51" s="2"/>
      <x:c r="C51" s="33"/>
      <x:c r="D51" s="33"/>
      <x:c r="E51" s="33"/>
      <x:c r="F51" s="33"/>
      <x:c r="G51" s="2"/>
      <x:c r="H51" s="4"/>
    </x:row>
    <x:row r="52" ht="23" customHeight="1">
      <x:c r="A52" s="2"/>
      <x:c r="B52" s="2"/>
      <x:c r="C52" s="33"/>
      <x:c r="D52" s="33"/>
      <x:c r="E52" s="33"/>
      <x:c r="F52" s="33"/>
      <x:c r="G52" s="2"/>
      <x:c r="H52" s="4"/>
    </x:row>
    <x:row r="53" ht="27" customHeight="1">
      <x:c r="A53" s="2"/>
      <x:c r="B53" s="11" t="str">
        <x:v>Interpretation</x:v>
      </x:c>
      <x:c r="C53" s="35"/>
      <x:c r="D53" s="35"/>
      <x:c r="E53" s="33"/>
      <x:c r="F53" s="33"/>
      <x:c r="G53" s="2"/>
      <x:c r="H53" s="4"/>
    </x:row>
    <x:row r="54" ht="23" customHeight="1">
      <x:c r="A54" s="2"/>
      <x:c r="B54" s="2" t="str">
        <x:v>At the current WPC cost, this is premium daily nutrition. A mass-affordable cup needs a lower protein-system cost.</x:v>
      </x:c>
      <x:c r="C54" s="33"/>
      <x:c r="D54" s="33"/>
      <x:c r="E54" s="33"/>
      <x:c r="F54" s="33"/>
      <x:c r="G54" s="2"/>
      <x:c r="H54" s="4"/>
    </x:row>
    <x:row r="55" ht="23" customHeight="1">
      <x:c r="A55" s="2"/>
      <x:c r="B55" s="2" t="str">
        <x:v>No marketplace commission, distributor/retailer margin or additional discount is included.</x:v>
      </x:c>
      <x:c r="C55" s="33"/>
      <x:c r="D55" s="33"/>
      <x:c r="E55" s="33"/>
      <x:c r="F55" s="33"/>
      <x:c r="G55" s="2"/>
      <x:c r="H55" s="4"/>
    </x:row>
    <x:row r="56" ht="23" customHeight="1">
      <x:c r="A56" s="2"/>
      <x:c r="B56" s="2" t="str">
        <x:v>No validated taste, hot-water performance, shelf life or final micronutrient specification is implied.</x:v>
      </x:c>
      <x:c r="C56" s="33"/>
      <x:c r="D56" s="33"/>
      <x:c r="E56" s="33"/>
      <x:c r="F56" s="33"/>
      <x:c r="G56" s="2"/>
      <x:c r="H56" s="4"/>
    </x:row>
    <x:row r="57" ht="23" customHeight="1">
      <x:c r="A57" s="2"/>
      <x:c r="B57" s="2" t="str">
        <x:v>If input GST is recoverable, exclude it from economic cost but fund it in working capital.</x:v>
      </x:c>
      <x:c r="C57" s="33"/>
      <x:c r="D57" s="33"/>
      <x:c r="E57" s="33"/>
      <x:c r="F57" s="33"/>
      <x:c r="G57" s="2"/>
      <x:c r="H57" s="4"/>
    </x:row>
    <x:row r="58" ht="23" customHeight="1">
      <x:c r="A58" s="2"/>
      <x:c r="B58" s="2"/>
      <x:c r="C58" s="33"/>
      <x:c r="D58" s="33"/>
      <x:c r="E58" s="33"/>
      <x:c r="F58" s="33"/>
      <x:c r="G58" s="2"/>
      <x:c r="H58" s="4"/>
    </x:row>
    <x:row r="59" ht="23" customHeight="1">
      <x:c r="A59" s="2"/>
      <x:c r="B59" s="2" t="str">
        <x:v>GST reference, Schedule I, entry 145</x:v>
      </x:c>
      <x:c r="C59" s="33"/>
      <x:c r="D59" s="33"/>
      <x:c r="E59" s="33"/>
      <x:c r="F59" s="33"/>
      <x:c r="G59" s="2"/>
      <x:c r="H59" s="4" t="str">
        <x:v>https://courier.cbic.gov.in/ECCS/advisory/2025/NOTIFICATION%20NO.%209_2025-INTEGRATED%20TAX%20%28RATE%29%20-1759486719.pdf</x:v>
      </x:c>
    </x:row>
    <x:row r="60" ht="23" customHeight="1">
      <x:c r="A60" s="2"/>
      <x:c r="B60" s="2" t="str">
        <x:v>Rate is provisional for Nurture. Confirm classification and amendments before setting the final consumer price.</x:v>
      </x:c>
      <x:c r="C60" s="33"/>
      <x:c r="D60" s="33"/>
      <x:c r="E60" s="33"/>
      <x:c r="F60" s="33"/>
      <x:c r="G60" s="2"/>
      <x:c r="H60" s="4"/>
    </x:row>
    <x:row r="61" ht="23" customHeight="1">
      <x:c r="A61" s="2"/>
      <x:c r="B61" s="2"/>
      <x:c r="C61" s="33"/>
      <x:c r="D61" s="33"/>
      <x:c r="E61" s="33"/>
      <x:c r="F61" s="33"/>
      <x:c r="G61" s="2"/>
      <x:c r="H61" s="4"/>
    </x:row>
    <x:row r="62" ht="23" customHeight="1">
      <x:c r="A62" s="2"/>
      <x:c r="B62" s="2"/>
      <x:c r="C62" s="33"/>
      <x:c r="D62" s="33"/>
      <x:c r="E62" s="33"/>
      <x:c r="F62" s="33"/>
      <x:c r="G62" s="2"/>
      <x:c r="H6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C4A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" hidden="0" customWidth="1"/>
    <x:col min="2" max="2" width="4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105" hidden="0" customWidth="1"/>
  </x:cols>
  <x:sheetData>
    <x:row r="1" ht="23" customHeight="1">
      <x:c r="A1" s="2"/>
      <x:c r="B1" s="2"/>
      <x:c r="C1" s="33"/>
      <x:c r="D1" s="33"/>
      <x:c r="E1" s="33"/>
      <x:c r="F1" s="33"/>
      <x:c r="G1" s="2"/>
      <x:c r="H1" s="4"/>
    </x:row>
    <x:row r="2" ht="23" customHeight="1">
      <x:c r="A2" s="2"/>
      <x:c r="B2" s="6" t="str">
        <x:v>Nurture serving cost</x:v>
      </x:c>
      <x:c r="C2" s="34"/>
      <x:c r="D2" s="34"/>
      <x:c r="E2" s="34"/>
      <x:c r="F2" s="34"/>
      <x:c r="G2" s="2"/>
      <x:c r="H2" s="4"/>
    </x:row>
    <x:row r="3" ht="23" customHeight="1">
      <x:c r="A3" s="2"/>
      <x:c r="B3" s="2" t="str">
        <x:v>19 October 2026. INR. Editable inputs are amber.</x:v>
      </x:c>
      <x:c r="C3" s="33"/>
      <x:c r="D3" s="33"/>
      <x:c r="E3" s="33"/>
      <x:c r="F3" s="33"/>
      <x:c r="G3" s="2"/>
      <x:c r="H3" s="4"/>
    </x:row>
    <x:row r="4" ht="23" customHeight="1">
      <x:c r="A4" s="2"/>
      <x:c r="B4" s="2"/>
      <x:c r="C4" s="33"/>
      <x:c r="D4" s="33"/>
      <x:c r="E4" s="33"/>
      <x:c r="F4" s="33"/>
      <x:c r="G4" s="2"/>
      <x:c r="H4" s="4"/>
    </x:row>
    <x:row r="5" ht="23" customHeight="1">
      <x:c r="A5" s="2"/>
      <x:c r="B5" s="2" t="str">
        <x:v>Protein target, g per serving</x:v>
      </x:c>
      <x:c r="C5" s="37" t="n">
        <x:v>15</x:v>
      </x:c>
      <x:c r="D5" s="33"/>
      <x:c r="E5" s="33"/>
      <x:c r="F5" s="33"/>
      <x:c r="G5" s="2"/>
      <x:c r="H5" s="4"/>
    </x:row>
    <x:row r="6" ht="23" customHeight="1">
      <x:c r="A6" s="2"/>
      <x:c r="B6" s="2" t="str">
        <x:v>WPC cost supplied by founder, INR</x:v>
      </x:c>
      <x:c r="C6" s="37" t="n">
        <x:v>1821</x:v>
      </x:c>
      <x:c r="D6" s="33"/>
      <x:c r="E6" s="33"/>
      <x:c r="F6" s="33"/>
      <x:c r="G6" s="2"/>
      <x:c r="H6" s="4" t="str">
        <x:v>Founder: manufacturing cost only; excludes 5% GST, packaging and other charges.</x:v>
      </x:c>
    </x:row>
    <x:row r="7" ht="23" customHeight="1">
      <x:c r="A7" s="2"/>
      <x:c r="B7" s="2" t="str">
        <x:v>WPC quantity covered by that cost, g</x:v>
      </x:c>
      <x:c r="C7" s="37" t="n">
        <x:v>500</x:v>
      </x:c>
      <x:c r="D7" s="33"/>
      <x:c r="E7" s="33"/>
      <x:c r="F7" s="33"/>
      <x:c r="G7" s="2"/>
      <x:c r="H7" s="4"/>
    </x:row>
    <x:row r="8" ht="23" customHeight="1">
      <x:c r="A8" s="2"/>
      <x:c r="B8" s="2" t="str">
        <x:v>WPC cost, INR/kg</x:v>
      </x:c>
      <x:c r="C8" s="33" t="n">
        <x:f>C6/C7*1000</x:f>
        <x:v>3642</x:v>
      </x:c>
      <x:c r="D8" s="33"/>
      <x:c r="E8" s="33"/>
      <x:c r="F8" s="33"/>
      <x:c r="G8" s="2"/>
      <x:c r="H8" s="4"/>
    </x:row>
    <x:row r="9" ht="23" customHeight="1">
      <x:c r="A9" s="2"/>
      <x:c r="B9" s="2" t="str">
        <x:v>Input WPC GST</x:v>
      </x:c>
      <x:c r="C9" s="38" t="n">
        <x:v>0.05</x:v>
      </x:c>
      <x:c r="D9" s="33"/>
      <x:c r="E9" s="33"/>
      <x:c r="F9" s="33"/>
      <x:c r="G9" s="2"/>
      <x:c r="H9" s="4"/>
    </x:row>
    <x:row r="10" ht="23" customHeight="1">
      <x:c r="A10" s="2"/>
      <x:c r="B10" s="2" t="str">
        <x:v>Recoverable fraction of WPC input GST</x:v>
      </x:c>
      <x:c r="C10" s="38" t="n">
        <x:v>1</x:v>
      </x:c>
      <x:c r="D10" s="33"/>
      <x:c r="E10" s="33"/>
      <x:c r="F10" s="33"/>
      <x:c r="G10" s="2"/>
      <x:c r="H10" s="4" t="str">
        <x:v>1 = full eligible input-tax credit. Set to 0 if unrecoverable. Other rates are net of recoverable tax.</x:v>
      </x:c>
    </x:row>
    <x:row r="11" ht="23" customHeight="1">
      <x:c r="A11" s="2"/>
      <x:c r="B11" s="2"/>
      <x:c r="C11" s="33"/>
      <x:c r="D11" s="33"/>
      <x:c r="E11" s="33"/>
      <x:c r="F11" s="33"/>
      <x:c r="G11" s="2"/>
      <x:c r="H11" s="4"/>
    </x:row>
    <x:row r="12" ht="27" customHeight="1">
      <x:c r="A12" s="2"/>
      <x:c r="B12" s="11" t="str">
        <x:v>Costing ingredients</x:v>
      </x:c>
      <x:c r="C12" s="50" t="str">
        <x:v>g / serving</x:v>
      </x:c>
      <x:c r="D12" s="50" t="str">
        <x:v>Protein fraction</x:v>
      </x:c>
      <x:c r="E12" s="50" t="str">
        <x:v>INR / kg</x:v>
      </x:c>
      <x:c r="F12" s="50" t="str">
        <x:v>INR / serving</x:v>
      </x:c>
      <x:c r="G12" s="2"/>
      <x:c r="H12" s="4"/>
    </x:row>
    <x:row r="13" ht="23" customHeight="1">
      <x:c r="A13" s="2"/>
      <x:c r="B13" s="2" t="str">
        <x:v>WPC80</x:v>
      </x:c>
      <x:c r="C13" s="42" t="n">
        <x:f>($C$5-SUMPRODUCT(C14:C21,D14:D21))/D13</x:f>
        <x:v>17.437499999999996</x:v>
      </x:c>
      <x:c r="D13" s="38" t="n">
        <x:v>0.8</x:v>
      </x:c>
      <x:c r="E13" s="43" t="n">
        <x:f>$C$8*(1+$C$9*(1-$C$10))</x:f>
        <x:v>3642</x:v>
      </x:c>
      <x:c r="F13" s="43" t="n">
        <x:f>C13*E13/1000</x:f>
        <x:v>63.50737499999998</x:v>
      </x:c>
      <x:c r="G13" s="2"/>
      <x:c r="H13" s="4" t="str">
        <x:v>80% protein is assumed, not yet confirmed. Quantity adjusts for protein supplied by milk powder.</x:v>
      </x:c>
    </x:row>
    <x:row r="14" ht="23" customHeight="1">
      <x:c r="A14" s="2"/>
      <x:c r="B14" s="2" t="str">
        <x:v>Skim milk powder</x:v>
      </x:c>
      <x:c r="C14" s="44" t="n">
        <x:v>3</x:v>
      </x:c>
      <x:c r="D14" s="38" t="n">
        <x:v>0.35</x:v>
      </x:c>
      <x:c r="E14" s="45" t="n">
        <x:v>450</x:v>
      </x:c>
      <x:c r="F14" s="43" t="n">
        <x:f>C14*E14/1000</x:f>
        <x:v>1.35</x:v>
      </x:c>
      <x:c r="G14" s="2"/>
      <x:c r="H14" s="4" t="str">
        <x:v>Budget INR450/kg; supplier listing INR340/kg is only an indication and has inconsistent product naming.</x:v>
      </x:c>
    </x:row>
    <x:row r="15" ht="23" customHeight="1">
      <x:c r="A15" s="2"/>
      <x:c r="B15" s="2" t="str">
        <x:v>Low-carbohydrate creaminess ingredient</x:v>
      </x:c>
      <x:c r="C15" s="44" t="n">
        <x:v>2</x:v>
      </x:c>
      <x:c r="D15" s="38" t="n">
        <x:v>0</x:v>
      </x:c>
      <x:c r="E15" s="45" t="n">
        <x:v>800</x:v>
      </x:c>
      <x:c r="F15" s="43" t="n">
        <x:f>C15*E15/1000</x:f>
        <x:v>1.6</x:v>
      </x:c>
      <x:c r="G15" s="2"/>
      <x:c r="H15" s="4" t="str">
        <x:v>Allowance only: select a functional low-carbohydrate ingredient; verify all carriers and protein contributions.</x:v>
      </x:c>
    </x:row>
    <x:row r="16" ht="23" customHeight="1">
      <x:c r="A16" s="2"/>
      <x:c r="B16" s="2" t="str">
        <x:v>Instant coffee</x:v>
      </x:c>
      <x:c r="C16" s="44" t="n">
        <x:v>1.5</x:v>
      </x:c>
      <x:c r="D16" s="38" t="n">
        <x:v>0</x:v>
      </x:c>
      <x:c r="E16" s="45" t="n">
        <x:v>2000</x:v>
      </x:c>
      <x:c r="F16" s="43" t="n">
        <x:f>C16*E16/1000</x:f>
        <x:v>3</x:v>
      </x:c>
      <x:c r="G16" s="2"/>
      <x:c r="H16" s="4" t="str">
        <x:v>Budget INR2,000/kg, not a quote. Caffeine requires supplier specification and finished-product measurement.</x:v>
      </x:c>
    </x:row>
    <x:row r="17" ht="23" customHeight="1">
      <x:c r="A17" s="2"/>
      <x:c r="B17" s="2" t="str">
        <x:v>Flavour and masking system</x:v>
      </x:c>
      <x:c r="C17" s="44" t="n">
        <x:v>0.35</x:v>
      </x:c>
      <x:c r="D17" s="38" t="n">
        <x:v>0</x:v>
      </x:c>
      <x:c r="E17" s="45" t="n">
        <x:v>4000</x:v>
      </x:c>
      <x:c r="F17" s="43" t="n">
        <x:f>C17*E17/1000</x:f>
        <x:v>1.4</x:v>
      </x:c>
      <x:c r="G17" s="2"/>
      <x:c r="H17" s="4" t="str">
        <x:v>Budget allowance; actual flavour strength and masking needs require bench work.</x:v>
      </x:c>
    </x:row>
    <x:row r="18" ht="23" customHeight="1">
      <x:c r="A18" s="2"/>
      <x:c r="B18" s="2" t="str">
        <x:v>Micronutrient premix allowance</x:v>
      </x:c>
      <x:c r="C18" s="44" t="n">
        <x:v>0.25</x:v>
      </x:c>
      <x:c r="D18" s="38" t="n">
        <x:v>0</x:v>
      </x:c>
      <x:c r="E18" s="45" t="n">
        <x:v>6000</x:v>
      </x:c>
      <x:c r="F18" s="43" t="n">
        <x:f>C18*E18/1000</x:f>
        <x:v>1.5</x:v>
      </x:c>
      <x:c r="G18" s="2"/>
      <x:c r="H18" s="4" t="str">
        <x:v>B12 + D costing reserve, not an approved premix, nutrient dose or dosing rate. Calcium/iron additions uncosted.</x:v>
      </x:c>
    </x:row>
    <x:row r="19" ht="23" customHeight="1">
      <x:c r="A19" s="2"/>
      <x:c r="B19" s="2" t="str">
        <x:v>Emulsifier / stabiliser allowance</x:v>
      </x:c>
      <x:c r="C19" s="44" t="n">
        <x:v>0.15</x:v>
      </x:c>
      <x:c r="D19" s="38" t="n">
        <x:v>0</x:v>
      </x:c>
      <x:c r="E19" s="45" t="n">
        <x:v>1500</x:v>
      </x:c>
      <x:c r="F19" s="43" t="n">
        <x:f>C19*E19/1000</x:f>
        <x:v>0.225</x:v>
      </x:c>
      <x:c r="G19" s="2"/>
      <x:c r="H19" s="4" t="str">
        <x:v>Budget allowance. Ingredient permissions, instantisation and thermal behaviour require validation.</x:v>
      </x:c>
    </x:row>
    <x:row r="20" ht="23" customHeight="1">
      <x:c r="A20" s="2"/>
      <x:c r="B20" s="2" t="str">
        <x:v>Sweetener system allowance</x:v>
      </x:c>
      <x:c r="C20" s="44" t="n">
        <x:v>0.08</x:v>
      </x:c>
      <x:c r="D20" s="38" t="n">
        <x:v>0</x:v>
      </x:c>
      <x:c r="E20" s="45" t="n">
        <x:v>5000</x:v>
      </x:c>
      <x:c r="F20" s="43" t="n">
        <x:f>C20*E20/1000</x:f>
        <x:v>0.4</x:v>
      </x:c>
      <x:c r="G20" s="2"/>
      <x:c r="H20" s="4" t="str">
        <x:v>Costing placeholder only; final sweetener form and dosage must be selected by the formulator.</x:v>
      </x:c>
    </x:row>
    <x:row r="21" ht="23" customHeight="1">
      <x:c r="A21" s="2"/>
      <x:c r="B21" s="2" t="str">
        <x:v>Salt</x:v>
      </x:c>
      <x:c r="C21" s="44" t="n">
        <x:v>0.03</x:v>
      </x:c>
      <x:c r="D21" s="38" t="n">
        <x:v>0</x:v>
      </x:c>
      <x:c r="E21" s="45" t="n">
        <x:v>30</x:v>
      </x:c>
      <x:c r="F21" s="43" t="n">
        <x:f>C21*E21/1000</x:f>
        <x:v>0.0008999999999999999</x:v>
      </x:c>
      <x:c r="G21" s="2"/>
      <x:c r="H21" s="4"/>
    </x:row>
    <x:row r="22" ht="23" customHeight="1">
      <x:c r="A22" s="2"/>
      <x:c r="B22" s="2"/>
      <x:c r="C22" s="42"/>
      <x:c r="D22" s="33"/>
      <x:c r="E22" s="43"/>
      <x:c r="F22" s="43"/>
      <x:c r="G22" s="2"/>
      <x:c r="H22" s="4"/>
    </x:row>
    <x:row r="23" ht="23" customHeight="1">
      <x:c r="A23" s="2"/>
      <x:c r="B23" s="22" t="str">
        <x:v>Total ingredients</x:v>
      </x:c>
      <x:c r="C23" s="46" t="n">
        <x:f>SUM(C13:C21)</x:f>
        <x:v>24.797499999999996</x:v>
      </x:c>
      <x:c r="D23" s="47" t="n">
        <x:f>SUMPRODUCT(C13:C21,D13:D21)</x:f>
        <x:v>14.999999999999996</x:v>
      </x:c>
      <x:c r="E23" s="48"/>
      <x:c r="F23" s="48" t="n">
        <x:f>SUM(F13:F21)</x:f>
        <x:v>72.98327499999998</x:v>
      </x:c>
      <x:c r="G23" s="2"/>
      <x:c r="H23" s="4"/>
    </x:row>
    <x:row r="24" ht="23" customHeight="1">
      <x:c r="A24" s="2"/>
      <x:c r="B24" s="2" t="str">
        <x:v>Material yield loss</x:v>
      </x:c>
      <x:c r="C24" s="38" t="n">
        <x:v>0.02</x:v>
      </x:c>
      <x:c r="D24" s="33"/>
      <x:c r="E24" s="43"/>
      <x:c r="F24" s="43" t="n">
        <x:f>F23/(1-C24)-F23</x:f>
        <x:v>1.4894545918367328</x:v>
      </x:c>
      <x:c r="G24" s="2"/>
      <x:c r="H24" s="4"/>
    </x:row>
    <x:row r="25" ht="23" customHeight="1">
      <x:c r="A25" s="2"/>
      <x:c r="B25" s="22" t="str">
        <x:v>Ingredients after yield loss</x:v>
      </x:c>
      <x:c r="C25" s="49"/>
      <x:c r="D25" s="49"/>
      <x:c r="E25" s="48"/>
      <x:c r="F25" s="48" t="n">
        <x:f>SUM(F23:F24)</x:f>
        <x:v>74.47272959183671</x:v>
      </x:c>
      <x:c r="G25" s="2"/>
      <x:c r="H25" s="4"/>
    </x:row>
    <x:row r="26" ht="23" customHeight="1">
      <x:c r="A26" s="2"/>
      <x:c r="B26" s="2"/>
      <x:c r="C26" s="33"/>
      <x:c r="D26" s="33"/>
      <x:c r="E26" s="43"/>
      <x:c r="F26" s="43"/>
      <x:c r="G26" s="2"/>
      <x:c r="H26" s="4"/>
    </x:row>
    <x:row r="27" ht="23" customHeight="1">
      <x:c r="A27" s="2"/>
      <x:c r="B27" s="2" t="str">
        <x:v>Additional beverage blending / instantisation</x:v>
      </x:c>
      <x:c r="C27" s="33"/>
      <x:c r="D27" s="33"/>
      <x:c r="E27" s="43"/>
      <x:c r="F27" s="45" t="n">
        <x:v>3</x:v>
      </x:c>
      <x:c r="G27" s="2"/>
      <x:c r="H27" s="4" t="str">
        <x:v>INR60,000 on 20,000 servings. Incremental beverage processing only; WPC manufacture is already included.</x:v>
      </x:c>
    </x:row>
    <x:row r="28" ht="23" customHeight="1">
      <x:c r="A28" s="2"/>
      <x:c r="B28" s="2" t="str">
        <x:v>Routine batch testing and release</x:v>
      </x:c>
      <x:c r="C28" s="37" t="n">
        <x:v>40000</x:v>
      </x:c>
      <x:c r="D28" s="37" t="n">
        <x:v>20000</x:v>
      </x:c>
      <x:c r="E28" s="43"/>
      <x:c r="F28" s="43" t="n">
        <x:f>C28/D28</x:f>
        <x:v>2</x:v>
      </x:c>
      <x:c r="G28" s="2"/>
      <x:c r="H28" s="4" t="str">
        <x:v>INR40,000 test budget / 20,000 released servings. A quote is required for the agreed testing panel.</x:v>
      </x:c>
    </x:row>
    <x:row r="29" ht="23" customHeight="1">
      <x:c r="A29" s="2"/>
      <x:c r="B29" s="2" t="str">
        <x:v>Primary pouch, label and scoop allocation</x:v>
      </x:c>
      <x:c r="C29" s="37" t="n">
        <x:v>75</x:v>
      </x:c>
      <x:c r="D29" s="37" t="n">
        <x:v>30</x:v>
      </x:c>
      <x:c r="E29" s="43"/>
      <x:c r="F29" s="43" t="n">
        <x:f>C29/D29</x:f>
        <x:v>2.5</x:v>
      </x:c>
      <x:c r="G29" s="2"/>
      <x:c r="H29" s="4" t="str">
        <x:v>INR75 per 30-serving refill pouch. Excludes decorative tin and individual sachets.</x:v>
      </x:c>
    </x:row>
    <x:row r="30" ht="23" customHeight="1">
      <x:c r="A30" s="2"/>
      <x:c r="B30" s="2" t="str">
        <x:v>Inbound freight and storage allocation</x:v>
      </x:c>
      <x:c r="C30" s="33"/>
      <x:c r="D30" s="33"/>
      <x:c r="E30" s="43"/>
      <x:c r="F30" s="45" t="n">
        <x:v>1</x:v>
      </x:c>
      <x:c r="G30" s="2"/>
      <x:c r="H30" s="4"/>
    </x:row>
    <x:row r="31" ht="23" customHeight="1">
      <x:c r="A31" s="2"/>
      <x:c r="B31" s="22" t="str">
        <x:v>Recurring packed product cost</x:v>
      </x:c>
      <x:c r="C31" s="49"/>
      <x:c r="D31" s="49"/>
      <x:c r="E31" s="48"/>
      <x:c r="F31" s="48" t="n">
        <x:f>F25+SUM(F27:F30)</x:f>
        <x:v>82.97272959183671</x:v>
      </x:c>
      <x:c r="G31" s="2"/>
      <x:c r="H31" s="4"/>
    </x:row>
    <x:row r="32" ht="23" customHeight="1">
      <x:c r="A32" s="2"/>
      <x:c r="B32" s="2"/>
      <x:c r="C32" s="33"/>
      <x:c r="D32" s="33"/>
      <x:c r="E32" s="43"/>
      <x:c r="F32" s="43"/>
      <x:c r="G32" s="2"/>
      <x:c r="H32" s="4"/>
    </x:row>
    <x:row r="33" ht="23" customHeight="1">
      <x:c r="A33" s="2"/>
      <x:c r="B33" s="2" t="str">
        <x:v>Development / validation recovery</x:v>
      </x:c>
      <x:c r="C33" s="37" t="n">
        <x:v>300000</x:v>
      </x:c>
      <x:c r="D33" s="37" t="n">
        <x:v>60000</x:v>
      </x:c>
      <x:c r="E33" s="43"/>
      <x:c r="F33" s="43" t="n">
        <x:f>C33/D33</x:f>
        <x:v>5</x:v>
      </x:c>
      <x:c r="G33" s="2"/>
      <x:c r="H33" s="4" t="str">
        <x:v>Planning budget INR300,000 spread over 60,000 servings. Cash spend precedes sales; quote scope separately.</x:v>
      </x:c>
    </x:row>
    <x:row r="34" ht="23" customHeight="1">
      <x:c r="A34" s="2"/>
      <x:c r="B34" s="22" t="str">
        <x:v>Cost including development recovery</x:v>
      </x:c>
      <x:c r="C34" s="49"/>
      <x:c r="D34" s="49"/>
      <x:c r="E34" s="48"/>
      <x:c r="F34" s="48" t="n">
        <x:f>SUM(F31,F33)</x:f>
        <x:v>87.97272959183671</x:v>
      </x:c>
      <x:c r="G34" s="2"/>
      <x:c r="H34" s="4"/>
    </x:row>
    <x:row r="35" ht="23" customHeight="1">
      <x:c r="A35" s="2"/>
      <x:c r="B35" s="2"/>
      <x:c r="C35" s="33"/>
      <x:c r="D35" s="33"/>
      <x:c r="E35" s="43"/>
      <x:c r="F35" s="43"/>
      <x:c r="G35" s="2"/>
      <x:c r="H35" s="4"/>
    </x:row>
    <x:row r="36" ht="23" customHeight="1">
      <x:c r="A36" s="2"/>
      <x:c r="B36" s="2" t="str">
        <x:v>WPC input GST cash paid per serving</x:v>
      </x:c>
      <x:c r="C36" s="33"/>
      <x:c r="D36" s="33"/>
      <x:c r="E36" s="43"/>
      <x:c r="F36" s="43" t="n">
        <x:f>C13*$C$8/1000*$C$9</x:f>
        <x:v>3.175368749999999</x:v>
      </x:c>
      <x:c r="G36" s="2"/>
      <x:c r="H36" s="4" t="str">
        <x:v>Shown separately for working capital. Recoverable GST is excluded from economic cost.</x:v>
      </x:c>
    </x:row>
    <x:row r="37" ht="23" customHeight="1">
      <x:c r="A37" s="2"/>
      <x:c r="B37" s="2" t="str">
        <x:v>Powder mass per 30-serving pouch, g</x:v>
      </x:c>
      <x:c r="C37" s="33"/>
      <x:c r="D37" s="33"/>
      <x:c r="E37" s="43"/>
      <x:c r="F37" s="43" t="n">
        <x:f>C23*D29</x:f>
        <x:v>743.9249999999998</x:v>
      </x:c>
      <x:c r="G37" s="2"/>
      <x:c r="H37" s="4"/>
    </x:row>
    <x:row r="38" ht="23" customHeight="1">
      <x:c r="A38" s="2"/>
      <x:c r="B38" s="2" t="str">
        <x:v>Servings in a 400 g pack</x:v>
      </x:c>
      <x:c r="C38" s="33"/>
      <x:c r="D38" s="33"/>
      <x:c r="E38" s="43"/>
      <x:c r="F38" s="43" t="n">
        <x:f>400/C23</x:f>
        <x:v>16.130658332493198</x:v>
      </x:c>
      <x:c r="G38" s="2"/>
      <x:c r="H38" s="4"/>
    </x:row>
    <x:row r="39" ht="23" customHeight="1">
      <x:c r="A39" s="2"/>
      <x:c r="B39" s="2"/>
      <x:c r="C39" s="33"/>
      <x:c r="D39" s="33"/>
      <x:c r="E39" s="33"/>
      <x:c r="F39" s="33"/>
      <x:c r="G39" s="2"/>
      <x:c r="H39" s="4"/>
    </x:row>
    <x:row r="40" ht="27" customHeight="1">
      <x:c r="A40" s="2"/>
      <x:c r="B40" s="11" t="str">
        <x:v>Basis and source notes</x:v>
      </x:c>
      <x:c r="C40" s="35"/>
      <x:c r="D40" s="35"/>
      <x:c r="E40" s="35"/>
      <x:c r="F40" s="35"/>
      <x:c r="G40" s="2"/>
      <x:c r="H40" s="4"/>
    </x:row>
    <x:row r="41" ht="23" customHeight="1">
      <x:c r="A41" s="2"/>
      <x:c r="B41" s="2" t="str">
        <x:v>This is an indicative WPC-led cost architecture, not a validated formula or evidence of great taste/hot stability.</x:v>
      </x:c>
      <x:c r="C41" s="33"/>
      <x:c r="D41" s="33"/>
      <x:c r="E41" s="33"/>
      <x:c r="F41" s="33"/>
      <x:c r="G41" s="2"/>
      <x:c r="H41" s="4"/>
    </x:row>
    <x:row r="42" ht="23" customHeight="1">
      <x:c r="A42" s="2"/>
      <x:c r="B42" s="2" t="str">
        <x:v>A milk-protein/whey blend remains a formulation option. No unquoted MPC savings are assumed here.</x:v>
      </x:c>
      <x:c r="C42" s="33"/>
      <x:c r="D42" s="33"/>
      <x:c r="E42" s="33"/>
      <x:c r="F42" s="33"/>
      <x:c r="G42" s="2"/>
      <x:c r="H42" s="4"/>
    </x:row>
    <x:row r="43" ht="23" customHeight="1">
      <x:c r="A43" s="2"/>
      <x:c r="B43" s="2" t="str">
        <x:v>All inputs except the founder WPC cost are unconfirmed planning allowances or identified public listings.</x:v>
      </x:c>
      <x:c r="C43" s="33"/>
      <x:c r="D43" s="33"/>
      <x:c r="E43" s="33"/>
      <x:c r="F43" s="33"/>
      <x:c r="G43" s="2"/>
      <x:c r="H43" s="4"/>
    </x:row>
    <x:row r="44" ht="23" customHeight="1">
      <x:c r="A44" s="2"/>
      <x:c r="B44" s="2" t="str">
        <x:v>Milk added by the customer is excluded. Milk powder contributes lactose; carriers need full carbohydrate review.</x:v>
      </x:c>
      <x:c r="C44" s="33"/>
      <x:c r="D44" s="33"/>
      <x:c r="E44" s="33"/>
      <x:c r="F44" s="33"/>
      <x:c r="G44" s="2"/>
      <x:c r="H44" s="4"/>
    </x:row>
    <x:row r="45" ht="23" customHeight="1">
      <x:c r="A45" s="2"/>
      <x:c r="B45" s="2" t="str">
        <x:v>Micronutrient forms, amounts, overages, homogeneity and shelf-life retention require a custom premix quote.</x:v>
      </x:c>
      <x:c r="C45" s="33"/>
      <x:c r="D45" s="33"/>
      <x:c r="E45" s="33"/>
      <x:c r="F45" s="33"/>
      <x:c r="G45" s="2"/>
      <x:c r="H45" s="4"/>
    </x:row>
    <x:row r="46" ht="23" customHeight="1">
      <x:c r="A46" s="2"/>
      <x:c r="B46" s="2" t="str">
        <x:v>Iron, extra calcium, magnesium and a broad vitamin/mineral package are not included in the premix reserve.</x:v>
      </x:c>
      <x:c r="C46" s="33"/>
      <x:c r="D46" s="33"/>
      <x:c r="E46" s="33"/>
      <x:c r="F46" s="33"/>
      <x:c r="G46" s="2"/>
      <x:c r="H46" s="4"/>
    </x:row>
    <x:row r="47" ht="23" customHeight="1">
      <x:c r="A47" s="2"/>
      <x:c r="B47" s="2" t="str">
        <x:v>Protein target is theoretical. Confirm as-sold ingredient specifications and finished-product label compliance.</x:v>
      </x:c>
      <x:c r="C47" s="33"/>
      <x:c r="D47" s="33"/>
      <x:c r="E47" s="33"/>
      <x:c r="F47" s="33"/>
      <x:c r="G47" s="2"/>
      <x:c r="H47" s="4"/>
    </x:row>
    <x:row r="48" ht="23" customHeight="1">
      <x:c r="A48" s="2"/>
      <x:c r="B48" s="2"/>
      <x:c r="C48" s="33"/>
      <x:c r="D48" s="33"/>
      <x:c r="E48" s="33"/>
      <x:c r="F48" s="33"/>
      <x:c r="G48" s="2"/>
      <x:c r="H48" s="4"/>
    </x:row>
    <x:row r="49" ht="27" customHeight="1">
      <x:c r="A49" s="2"/>
      <x:c r="B49" s="11" t="str">
        <x:v>Supplier references checked 19 October 2026</x:v>
      </x:c>
      <x:c r="C49" s="35"/>
      <x:c r="D49" s="35"/>
      <x:c r="E49" s="35"/>
      <x:c r="F49" s="35"/>
      <x:c r="G49" s="2"/>
      <x:c r="H49" s="4"/>
    </x:row>
    <x:row r="50" ht="23" customHeight="1">
      <x:c r="A50" s="2"/>
      <x:c r="B50" s="2" t="str">
        <x:v>WPC80 public listing: INR2,750/kg, MOQ25kg</x:v>
      </x:c>
      <x:c r="C50" s="33"/>
      <x:c r="D50" s="33"/>
      <x:c r="E50" s="33"/>
      <x:c r="F50" s="33"/>
      <x:c r="G50" s="2"/>
      <x:c r="H50" s="4" t="str">
        <x:v>https://www.tiwaribrothers.in/whey-protein.html</x:v>
      </x:c>
    </x:row>
    <x:row r="51" ht="23" customHeight="1">
      <x:c r="A51" s="2"/>
      <x:c r="B51" s="2" t="str">
        <x:v>Milk powder listing: INR340/kg, MOQ25kg</x:v>
      </x:c>
      <x:c r="C51" s="33"/>
      <x:c r="D51" s="33"/>
      <x:c r="E51" s="33"/>
      <x:c r="F51" s="33"/>
      <x:c r="G51" s="2"/>
      <x:c r="H51" s="4" t="str">
        <x:v>https://www.tiwaribrothers.in/milk-powder.html</x:v>
      </x:c>
    </x:row>
    <x:row r="52" ht="23" customHeight="1">
      <x:c r="A52" s="2"/>
      <x:c r="B52" s="2" t="str">
        <x:v>Flavour public listing; grade-specific quote needed</x:v>
      </x:c>
      <x:c r="C52" s="33"/>
      <x:c r="D52" s="33"/>
      <x:c r="E52" s="33"/>
      <x:c r="F52" s="33"/>
      <x:c r="G52" s="2"/>
      <x:c r="H52" s="4" t="str">
        <x:v>https://www.tiwaribrothers.in/sitemap.html</x:v>
      </x:c>
    </x:row>
    <x:row r="53" ht="23" customHeight="1">
      <x:c r="A53" s="2"/>
      <x:c r="B53" s="2" t="str">
        <x:v>Custom beverage premixes; no public price adopted</x:v>
      </x:c>
      <x:c r="C53" s="33"/>
      <x:c r="D53" s="33"/>
      <x:c r="E53" s="33"/>
      <x:c r="F53" s="33"/>
      <x:c r="G53" s="2"/>
      <x:c r="H53" s="4" t="str">
        <x:v>https://pristinenutrientpremixes.com/beverages/</x:v>
      </x:c>
    </x:row>
    <x:row r="54" ht="23" customHeight="1">
      <x:c r="A54" s="2"/>
      <x:c r="B54" s="2" t="str">
        <x:v>Lower WPC listing is a procurement lead, not a confirmed landed/functional substitute.</x:v>
      </x:c>
      <x:c r="C54" s="33"/>
      <x:c r="D54" s="33"/>
      <x:c r="E54" s="33"/>
      <x:c r="F54" s="33"/>
      <x:c r="G54" s="2"/>
      <x:c r="H54" s="4"/>
    </x:row>
    <x:row r="55" ht="23" customHeight="1">
      <x:c r="A55" s="2"/>
      <x:c r="B55" s="2"/>
      <x:c r="C55" s="33"/>
      <x:c r="D55" s="33"/>
      <x:c r="E55" s="33"/>
      <x:c r="F55" s="33"/>
      <x:c r="G55" s="2"/>
      <x:c r="H55" s="4"/>
    </x:row>
    <x:row r="56" ht="23" customHeight="1">
      <x:c r="A56" s="2"/>
      <x:c r="B56" s="2"/>
      <x:c r="C56" s="33"/>
      <x:c r="D56" s="33"/>
      <x:c r="E56" s="33"/>
      <x:c r="F56" s="33"/>
      <x:c r="G56" s="2"/>
      <x:c r="H56" s="4"/>
    </x:row>
    <x:row r="57" ht="23" customHeight="1">
      <x:c r="A57" s="2"/>
      <x:c r="B57" s="2"/>
      <x:c r="C57" s="33"/>
      <x:c r="D57" s="33"/>
      <x:c r="E57" s="33"/>
      <x:c r="F57" s="33"/>
      <x:c r="G57" s="2"/>
      <x:c r="H57" s="4"/>
    </x:row>
    <x:row r="58" ht="23" customHeight="1">
      <x:c r="A58" s="2"/>
      <x:c r="B58" s="2"/>
      <x:c r="C58" s="33"/>
      <x:c r="D58" s="33"/>
      <x:c r="E58" s="33"/>
      <x:c r="F58" s="33"/>
      <x:c r="G58" s="2"/>
      <x:c r="H58" s="4"/>
    </x:row>
    <x:row r="59" ht="23" customHeight="1">
      <x:c r="A59" s="2"/>
      <x:c r="B59" s="2"/>
      <x:c r="C59" s="33"/>
      <x:c r="D59" s="33"/>
      <x:c r="E59" s="33"/>
      <x:c r="F59" s="33"/>
      <x:c r="G59" s="2"/>
      <x:c r="H59" s="4"/>
    </x:row>
    <x:row r="60" ht="23" customHeight="1">
      <x:c r="A60" s="2"/>
      <x:c r="B60" s="2"/>
      <x:c r="C60" s="33"/>
      <x:c r="D60" s="33"/>
      <x:c r="E60" s="33"/>
      <x:c r="F60" s="33"/>
      <x:c r="G60" s="2"/>
      <x:c r="H60" s="4"/>
    </x:row>
    <x:row r="61" ht="23" customHeight="1">
      <x:c r="A61" s="2"/>
      <x:c r="B61" s="2"/>
      <x:c r="C61" s="33"/>
      <x:c r="D61" s="33"/>
      <x:c r="E61" s="33"/>
      <x:c r="F61" s="33"/>
      <x:c r="G61" s="2"/>
      <x:c r="H61" s="4"/>
    </x:row>
    <x:row r="62" ht="23" customHeight="1">
      <x:c r="A62" s="2"/>
      <x:c r="B62" s="2"/>
      <x:c r="C62" s="33"/>
      <x:c r="D62" s="33"/>
      <x:c r="E62" s="33"/>
      <x:c r="F62" s="33"/>
      <x:c r="G62" s="2"/>
      <x:c r="H62" s="4"/>
    </x:row>
  </x:sheetData>
  <x:pageMargins left="0.7" right="0.7" top="0.75" bottom="0.75" header="0.3" footer="0.3"/>
</x:worksheet>
</file>