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9d43bf8a7347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sibility" sheetId="1" r:id="R8278ada43b3d491d"/>
    <x:sheet xmlns:r="http://schemas.openxmlformats.org/officeDocument/2006/relationships" name="Suppliers" sheetId="2" r:id="R5bd009e7f69842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₹&quot;#,##0.00;(&quot;₹&quot;#,##0.00);&quot;–&quot;"/>
    <x:numFmt numFmtId="201" formatCode="0.0%"/>
    <x:numFmt numFmtId="202" formatCode="0.000"/>
    <x:numFmt numFmtId="203" formatCode="0.00"/>
    <x:numFmt numFmtId="204" formatCode="#,##0.00"/>
  </x:numFmts>
  <x:fonts count="7">
    <x:font>
      <x:sz val="11"/>
      <x:name val="Carlito"/>
    </x:font>
    <x:font>
      <x:sz val="10"/>
      <x:color rgb="FF352D28"/>
      <x:name val="Arial"/>
    </x:font>
    <x:font>
      <x:b/>
      <x:sz val="15"/>
      <x:color rgb="FF352D28"/>
      <x:name val="Arial"/>
    </x:font>
    <x:font>
      <x:sz val="10"/>
      <x:color rgb="FF0000FF"/>
      <x:name val="Arial"/>
    </x:font>
    <x:font>
      <x:sz val="10"/>
      <x:color rgb="FF315C4A"/>
      <x:name val="Arial"/>
    </x:font>
    <x:font>
      <x:b/>
      <x:sz val="10"/>
      <x:color rgb="FF352D28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1CC"/>
      </x:patternFill>
    </x:fill>
    <x:fill>
      <x:patternFill patternType="solid">
        <x:fgColor rgb="FFF2EEE7"/>
      </x:patternFill>
    </x:fill>
    <x:fill>
      <x:patternFill patternType="solid">
        <x:fgColor rgb="FF352D2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right"/>
    </x:xf>
    <x:xf numFmtId="0" fontId="3" fillId="2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right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right"/>
    </x:xf>
    <x:xf numFmtId="200" fontId="5" fillId="3" borderId="0" xfId="0" applyNumberFormat="1" applyFont="1" applyFill="1" applyBorder="1" applyAlignment="1">
      <x:alignment horizontal="right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right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right"/>
    </x:xf>
    <x:xf numFmtId="201" fontId="3" fillId="2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202" fontId="3" fillId="2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204" fontId="1" fillId="0" borderId="0" xfId="0" applyNumberFormat="1" applyFont="1" applyFill="1" applyBorder="1" applyAlignment="1">
      <x:alignment horizontal="right"/>
    </x:xf>
    <x:xf numFmtId="204" fontId="3" fillId="2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/>
    </x:xf>
    <x:xf numFmtId="202" fontId="1" fillId="3" borderId="0" xfId="0" applyNumberFormat="1" applyFont="1" applyFill="1" applyBorder="1" applyAlignment="1">
      <x:alignment horizontal="right"/>
    </x:xf>
    <x:xf numFmtId="203" fontId="1" fillId="3" borderId="0" xfId="0" applyNumberFormat="1" applyFont="1" applyFill="1" applyBorder="1" applyAlignment="1">
      <x:alignment horizontal="right"/>
    </x:xf>
    <x:xf numFmtId="204" fontId="1" fillId="3" borderId="0" xfId="0" applyNumberFormat="1" applyFont="1" applyFill="1" applyBorder="1" applyAlignment="1">
      <x:alignment horizontal="right"/>
    </x:xf>
    <x:xf numFmtId="202" fontId="5" fillId="3" borderId="0" xfId="0" applyNumberFormat="1" applyFont="1" applyFill="1" applyBorder="1" applyAlignment="1">
      <x:alignment horizontal="right"/>
    </x:xf>
    <x:xf numFmtId="203" fontId="5" fillId="3" borderId="0" xfId="0" applyNumberFormat="1" applyFont="1" applyFill="1" applyBorder="1" applyAlignment="1">
      <x:alignment horizontal="right"/>
    </x:xf>
    <x:xf numFmtId="204" fontId="5" fillId="3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 wrapText="1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">
    <x:dxf>
      <x:font>
        <x:b/>
        <x:color rgb="FF9C2020"/>
      </x:font>
      <x:fill>
        <x:patternFill patternType="solid">
          <x:bgColor rgb="FFFB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4acb338b5f40a9" /><Relationship Type="http://schemas.openxmlformats.org/officeDocument/2006/relationships/theme" Target="/xl/theme/theme1.xml" Id="R5d4e83ee1f6e43bb" /><Relationship Type="http://schemas.openxmlformats.org/officeDocument/2006/relationships/sharedStrings" Target="/xl/sharedStrings.xml" Id="R7c7b2bcee58841df" /><Relationship Type="http://schemas.openxmlformats.org/officeDocument/2006/relationships/worksheet" Target="/xl/worksheets/sheet1.xml" Id="R8278ada43b3d491d" /><Relationship Type="http://schemas.openxmlformats.org/officeDocument/2006/relationships/worksheet" Target="/xl/worksheets/sheet2.xml" Id="R5bd009e7f69842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3" hidden="0" customWidth="1"/>
    <x:col min="8" max="8" width="115" hidden="0" customWidth="1"/>
  </x:cols>
  <x:sheetData>
    <x:row r="1" ht="23" customHeight="1">
      <x:c r="A1" s="1"/>
      <x:c r="B1" s="1"/>
      <x:c r="C1" s="2"/>
      <x:c r="D1" s="2"/>
      <x:c r="E1" s="2"/>
      <x:c r="F1" s="2"/>
      <x:c r="G1" s="1"/>
      <x:c r="H1" s="1"/>
    </x:row>
    <x:row r="2" ht="23" customHeight="1">
      <x:c r="A2" s="1"/>
      <x:c r="B2" s="3" t="str">
        <x:v>Nurture 250 kg trial feasibility</x:v>
      </x:c>
      <x:c r="C2" s="2"/>
      <x:c r="D2" s="2"/>
      <x:c r="E2" s="2"/>
      <x:c r="F2" s="2"/>
      <x:c r="G2" s="1"/>
      <x:c r="H2" s="1"/>
    </x:row>
    <x:row r="3" ht="23" customHeight="1">
      <x:c r="A3" s="1"/>
      <x:c r="B3" s="1" t="str">
        <x:v>19 October 2026. Published listings and explicit allowances; no firm supplier quotes or prototype results.</x:v>
      </x:c>
      <x:c r="C3" s="2"/>
      <x:c r="D3" s="2"/>
      <x:c r="E3" s="2"/>
      <x:c r="F3" s="2"/>
      <x:c r="G3" s="1"/>
      <x:c r="H3" s="1"/>
    </x:row>
    <x:row r="4" ht="23" customHeight="1">
      <x:c r="A4" s="1"/>
      <x:c r="B4" s="1"/>
      <x:c r="C4" s="2"/>
      <x:c r="D4" s="2"/>
      <x:c r="E4" s="2"/>
      <x:c r="F4" s="2"/>
      <x:c r="G4" s="1"/>
      <x:c r="H4" s="1"/>
    </x:row>
    <x:row r="5" ht="23" customHeight="1">
      <x:c r="A5" s="1"/>
      <x:c r="B5" s="1" t="str">
        <x:v>Selected route</x:v>
      </x:c>
      <x:c r="C5" s="5" t="n">
        <x:v>1</x:v>
      </x:c>
      <x:c r="D5" s="6" t="str">
        <x:f>CHOOSE(C5,"MPC only","MPC + whey","MPC + listed yeast","MPC + soluble yeast")</x:f>
        <x:v>MPC only</x:v>
      </x:c>
      <x:c r="E5" s="2"/>
      <x:c r="F5" s="2"/>
      <x:c r="G5" s="1"/>
      <x:c r="H5" s="1"/>
    </x:row>
    <x:row r="6" ht="23" customHeight="1">
      <x:c r="A6" s="1"/>
      <x:c r="B6" s="1"/>
      <x:c r="C6" s="2"/>
      <x:c r="D6" s="2"/>
      <x:c r="E6" s="2"/>
      <x:c r="F6" s="2"/>
      <x:c r="G6" s="1"/>
      <x:c r="H6" s="1"/>
    </x:row>
    <x:row r="7" ht="23" customHeight="1">
      <x:c r="A7" s="1"/>
      <x:c r="B7" s="9" t="str">
        <x:v>Packed product cost, INR / serving</x:v>
      </x:c>
      <x:c r="C7" s="11" t="n">
        <x:f>F43</x:f>
        <x:v>40.69926020408163</x:v>
      </x:c>
      <x:c r="D7" s="10"/>
      <x:c r="E7" s="10"/>
      <x:c r="F7" s="10"/>
      <x:c r="G7" s="1"/>
      <x:c r="H7" s="1"/>
    </x:row>
    <x:row r="8" ht="23" customHeight="1">
      <x:c r="A8" s="1"/>
      <x:c r="B8" s="9" t="str">
        <x:v>Budget remaining against INR45</x:v>
      </x:c>
      <x:c r="C8" s="11" t="n">
        <x:f>C16-C7</x:f>
        <x:v>4.300739795918368</x:v>
      </x:c>
      <x:c r="D8" s="10"/>
      <x:c r="E8" s="10"/>
      <x:c r="F8" s="10"/>
      <x:c r="G8" s="1"/>
      <x:c r="H8" s="1"/>
    </x:row>
    <x:row r="9" ht="23" customHeight="1">
      <x:c r="A9" s="1"/>
      <x:c r="B9" s="1" t="str">
        <x:v>Cost basis</x:v>
      </x:c>
      <x:c r="C9" s="2" t="str">
        <x:f>IF(COUNTBLANK(E27:E30)&gt;0,"Missing grade price","Indicative only")</x:f>
        <x:v>Indicative only</x:v>
      </x:c>
      <x:c r="D9" s="2"/>
      <x:c r="E9" s="2"/>
      <x:c r="F9" s="2"/>
      <x:c r="G9" s="1"/>
      <x:c r="H9" s="1"/>
    </x:row>
    <x:row r="10" ht="23" customHeight="1">
      <x:c r="A10" s="1"/>
      <x:c r="B10" s="1" t="str">
        <x:v>Hot water / hot milk performance</x:v>
      </x:c>
      <x:c r="C10" s="2" t="str">
        <x:v>UNTESTED</x:v>
      </x:c>
      <x:c r="D10" s="2"/>
      <x:c r="E10" s="2"/>
      <x:c r="F10" s="2"/>
      <x:c r="G10" s="1"/>
      <x:c r="H10" s="1"/>
    </x:row>
    <x:row r="11" ht="23" customHeight="1">
      <x:c r="A11" s="1"/>
      <x:c r="B11" s="1" t="str">
        <x:v>Taste and fortified shelf life</x:v>
      </x:c>
      <x:c r="C11" s="2" t="str">
        <x:v>UNTESTED</x:v>
      </x:c>
      <x:c r="D11" s="2"/>
      <x:c r="E11" s="2"/>
      <x:c r="F11" s="2"/>
      <x:c r="G11" s="1"/>
      <x:c r="H11" s="1"/>
    </x:row>
    <x:row r="12" ht="23" customHeight="1">
      <x:c r="A12" s="1"/>
      <x:c r="B12" s="1"/>
      <x:c r="C12" s="2"/>
      <x:c r="D12" s="2"/>
      <x:c r="E12" s="2"/>
      <x:c r="F12" s="2"/>
      <x:c r="G12" s="1"/>
      <x:c r="H12" s="1"/>
    </x:row>
    <x:row r="13" ht="23" customHeight="1">
      <x:c r="A13" s="1"/>
      <x:c r="B13" s="1"/>
      <x:c r="C13" s="2"/>
      <x:c r="D13" s="2"/>
      <x:c r="E13" s="2"/>
      <x:c r="F13" s="2"/>
      <x:c r="G13" s="1"/>
      <x:c r="H13" s="1"/>
    </x:row>
    <x:row r="14" ht="26" customHeight="1">
      <x:c r="A14" s="1"/>
      <x:c r="B14" s="14" t="str">
        <x:v>Inputs and source status</x:v>
      </x:c>
      <x:c r="C14" s="15"/>
      <x:c r="D14" s="15"/>
      <x:c r="E14" s="15"/>
      <x:c r="F14" s="15"/>
      <x:c r="G14" s="1"/>
      <x:c r="H14" s="1"/>
    </x:row>
    <x:row r="15" ht="23" customHeight="1">
      <x:c r="A15" s="1"/>
      <x:c r="B15" s="1" t="str">
        <x:v>Protein target, g</x:v>
      </x:c>
      <x:c r="C15" s="5" t="n">
        <x:v>15</x:v>
      </x:c>
      <x:c r="D15" s="2"/>
      <x:c r="E15" s="2"/>
      <x:c r="F15" s="2"/>
      <x:c r="G15" s="1"/>
      <x:c r="H15" s="1" t="str">
        <x:v>Theoretical protein from ingredients, on an as-sold basis. Confirm with final COAs and label testing.</x:v>
      </x:c>
    </x:row>
    <x:row r="16" ht="23" customHeight="1">
      <x:c r="A16" s="1"/>
      <x:c r="B16" s="1" t="str">
        <x:v>Recurring packed-cost ceiling, INR</x:v>
      </x:c>
      <x:c r="C16" s="5" t="n">
        <x:v>45</x:v>
      </x:c>
      <x:c r="D16" s="2"/>
      <x:c r="E16" s="2"/>
      <x:c r="F16" s="2"/>
      <x:c r="G16" s="1"/>
      <x:c r="H16" s="1" t="str">
        <x:v>Excludes development spend, outbound fulfilment, marketing and fixed business overhead.</x:v>
      </x:c>
    </x:row>
    <x:row r="17" ht="23" customHeight="1">
      <x:c r="A17" s="1"/>
      <x:c r="B17" s="1" t="str">
        <x:v>Protein ingredient trial order, kg</x:v>
      </x:c>
      <x:c r="C17" s="5" t="n">
        <x:v>250</x:v>
      </x:c>
      <x:c r="D17" s="2"/>
      <x:c r="E17" s="2"/>
      <x:c r="F17" s="2"/>
      <x:c r="G17" s="1"/>
      <x:c r="H17" s="1" t="str">
        <x:v>Assumed total concentrated-protein quantity, not finished-powder batch weight.</x:v>
      </x:c>
    </x:row>
    <x:row r="18" ht="23" customHeight="1">
      <x:c r="A18" s="1"/>
      <x:c r="B18" s="1" t="str">
        <x:v>MPC80 protein fraction</x:v>
      </x:c>
      <x:c r="C18" s="16" t="n">
        <x:v>0.8</x:v>
      </x:c>
      <x:c r="D18" s="2"/>
      <x:c r="E18" s="2"/>
      <x:c r="F18" s="2"/>
      <x:c r="G18" s="1"/>
      <x:c r="H18" s="1" t="str">
        <x:v>Nominal. Exact grade and batch COA are unconfirmed.</x:v>
      </x:c>
    </x:row>
    <x:row r="19" ht="23" customHeight="1">
      <x:c r="A19" s="1"/>
      <x:c r="B19" s="1" t="str">
        <x:v>WPC80 protein fraction</x:v>
      </x:c>
      <x:c r="C19" s="16" t="n">
        <x:v>0.8</x:v>
      </x:c>
      <x:c r="D19" s="2"/>
      <x:c r="E19" s="2"/>
      <x:c r="F19" s="2"/>
      <x:c r="G19" s="1"/>
      <x:c r="H19" s="1" t="str">
        <x:v>Nominal. Founder manufacturing rate is confirmed; protein fraction still needs confirmation.</x:v>
      </x:c>
    </x:row>
    <x:row r="20" ht="23" customHeight="1">
      <x:c r="A20" s="1"/>
      <x:c r="B20" s="1" t="str">
        <x:v>Yeast protein fraction</x:v>
      </x:c>
      <x:c r="C20" s="16" t="n">
        <x:v>0.8</x:v>
      </x:c>
      <x:c r="D20" s="2"/>
      <x:c r="E20" s="2"/>
      <x:c r="F20" s="2"/>
      <x:c r="G20" s="1"/>
      <x:c r="H20" s="1" t="str">
        <x:v>Placeholder only. F80 datasheet has different typical/minimum and dry/as-sold values.</x:v>
      </x:c>
    </x:row>
    <x:row r="21" ht="23" customHeight="1">
      <x:c r="A21" s="1"/>
      <x:c r="B21" s="1" t="str">
        <x:v>MPC80 rate, INR/kg</x:v>
      </x:c>
      <x:c r="C21" s="5" t="n">
        <x:v>1050</x:v>
      </x:c>
      <x:c r="D21" s="2"/>
      <x:c r="E21" s="2"/>
      <x:c r="F21" s="2"/>
      <x:c r="G21" s="1"/>
      <x:c r="H21" s="1" t="str">
        <x:v>Public marketplace listing; rate, order units, actual grade, freight and tax treatment unconfirmed.</x:v>
      </x:c>
    </x:row>
    <x:row r="22" ht="23" customHeight="1">
      <x:c r="A22" s="1"/>
      <x:c r="B22" s="1" t="str">
        <x:v>WPC80 rate, INR/kg</x:v>
      </x:c>
      <x:c r="C22" s="5" t="n">
        <x:v>3642</x:v>
      </x:c>
      <x:c r="D22" s="2"/>
      <x:c r="E22" s="2"/>
      <x:c r="F22" s="2"/>
      <x:c r="G22" s="1"/>
      <x:c r="H22" s="1" t="str">
        <x:v>Founder: INR1821/500g manufacturing cost, excluding 5% GST and all packaging.</x:v>
      </x:c>
    </x:row>
    <x:row r="23" ht="23" customHeight="1">
      <x:c r="A23" s="1"/>
      <x:c r="B23" s="1" t="str">
        <x:v>Listed AngeoPro rate, INR/kg</x:v>
      </x:c>
      <x:c r="C23" s="5" t="n">
        <x:v>899</x:v>
      </x:c>
      <x:c r="D23" s="2"/>
      <x:c r="E23" s="2"/>
      <x:c r="F23" s="2"/>
      <x:c r="G23" s="1"/>
      <x:c r="H23" s="1" t="str">
        <x:v>Supplier lists 25kg pack, INR899/kg++; grade not identified as S80-A. Not a suitability confirmation.</x:v>
      </x:c>
    </x:row>
    <x:row r="24" ht="23" customHeight="1">
      <x:c r="A24" s="1"/>
      <x:c r="B24" s="1" t="str">
        <x:v>Soluble S80-A rate, INR/kg</x:v>
      </x:c>
      <x:c r="C24" s="5"/>
      <x:c r="D24" s="2"/>
      <x:c r="E24" s="2"/>
      <x:c r="F24" s="2"/>
      <x:c r="G24" s="1"/>
      <x:c r="H24" s="1" t="str">
        <x:v>No public Indian bulk price verified. Enter only after a grade-specific delivered quote.</x:v>
      </x:c>
    </x:row>
    <x:row r="25" ht="23" customHeight="1">
      <x:c r="A25" s="1"/>
      <x:c r="B25" s="1"/>
      <x:c r="C25" s="2"/>
      <x:c r="D25" s="2"/>
      <x:c r="E25" s="2"/>
      <x:c r="F25" s="2"/>
      <x:c r="G25" s="1"/>
      <x:c r="H25" s="1"/>
    </x:row>
    <x:row r="26" ht="26" customHeight="1">
      <x:c r="A26" s="1"/>
      <x:c r="B26" s="14" t="str">
        <x:v>Ingredient</x:v>
      </x:c>
      <x:c r="C26" s="15" t="str">
        <x:v>g / serving</x:v>
      </x:c>
      <x:c r="D26" s="15" t="str">
        <x:v>Protein fraction</x:v>
      </x:c>
      <x:c r="E26" s="15" t="str">
        <x:v>INR / kg</x:v>
      </x:c>
      <x:c r="F26" s="15" t="str">
        <x:v>INR / serving</x:v>
      </x:c>
      <x:c r="G26" s="1"/>
      <x:c r="H26" s="1"/>
    </x:row>
    <x:row r="27" ht="23" customHeight="1">
      <x:c r="A27" s="1"/>
      <x:c r="B27" s="1" t="str">
        <x:v>MPC80</x:v>
      </x:c>
      <x:c r="C27" s="17" t="n">
        <x:f>($C$15-SUMPRODUCT(C28:C37,D28:D37))/D27</x:f>
        <x:v>17.437499999999996</x:v>
      </x:c>
      <x:c r="D27" s="19" t="n">
        <x:f>C18</x:f>
        <x:v>0.8</x:v>
      </x:c>
      <x:c r="E27" s="21" t="n">
        <x:f>C21</x:f>
        <x:v>1050</x:v>
      </x:c>
      <x:c r="F27" s="21" t="n">
        <x:f>IF(E27="","",C27*E27/1000)</x:f>
        <x:v>18.309374999999996</x:v>
      </x:c>
      <x:c r="G27" s="1"/>
      <x:c r="H27" s="1"/>
    </x:row>
    <x:row r="28" ht="23" customHeight="1">
      <x:c r="A28" s="1"/>
      <x:c r="B28" s="1" t="str">
        <x:v>WPC80</x:v>
      </x:c>
      <x:c r="C28" s="17" t="n">
        <x:f>CHOOSE($C$5,0,1,0,0)/D28</x:f>
        <x:v>0</x:v>
      </x:c>
      <x:c r="D28" s="19" t="n">
        <x:f>C19</x:f>
        <x:v>0.8</x:v>
      </x:c>
      <x:c r="E28" s="21" t="n">
        <x:f>C22</x:f>
        <x:v>3642</x:v>
      </x:c>
      <x:c r="F28" s="21" t="n">
        <x:f>IF(E28="","",C28*E28/1000)</x:f>
        <x:v>0</x:v>
      </x:c>
      <x:c r="G28" s="1"/>
      <x:c r="H28" s="1"/>
    </x:row>
    <x:row r="29" ht="23" customHeight="1">
      <x:c r="A29" s="1"/>
      <x:c r="B29" s="1" t="str">
        <x:v>Yeast protein</x:v>
      </x:c>
      <x:c r="C29" s="17" t="n">
        <x:f>CHOOSE($C$5,0,0,4,4)/D29</x:f>
        <x:v>0</x:v>
      </x:c>
      <x:c r="D29" s="19" t="n">
        <x:f>C20</x:f>
        <x:v>0.8</x:v>
      </x:c>
      <x:c r="E29" s="21" t="n">
        <x:f>IF($C$5=4,IF($C$24="","",$C$24),$C$23)</x:f>
        <x:v>899</x:v>
      </x:c>
      <x:c r="F29" s="21" t="n">
        <x:f>IF(E29="","",C29*E29/1000)</x:f>
        <x:v>0</x:v>
      </x:c>
      <x:c r="G29" s="1"/>
      <x:c r="H29" s="1"/>
    </x:row>
    <x:row r="30" ht="23" customHeight="1">
      <x:c r="A30" s="1"/>
      <x:c r="B30" s="1" t="str">
        <x:v>Skim milk powder</x:v>
      </x:c>
      <x:c r="C30" s="18" t="n">
        <x:v>3</x:v>
      </x:c>
      <x:c r="D30" s="16" t="n">
        <x:v>0.35</x:v>
      </x:c>
      <x:c r="E30" s="22" t="n">
        <x:v>450</x:v>
      </x:c>
      <x:c r="F30" s="21" t="n">
        <x:f>IF(E30="","",C30*E30/1000)</x:f>
        <x:v>1.35</x:v>
      </x:c>
      <x:c r="G30" s="1"/>
      <x:c r="H30" s="1"/>
    </x:row>
    <x:row r="31" ht="23" customHeight="1">
      <x:c r="A31" s="1"/>
      <x:c r="B31" s="1" t="str">
        <x:v>Creaminess ingredient</x:v>
      </x:c>
      <x:c r="C31" s="18" t="n">
        <x:v>2</x:v>
      </x:c>
      <x:c r="D31" s="16" t="n">
        <x:v>0</x:v>
      </x:c>
      <x:c r="E31" s="22" t="n">
        <x:v>800</x:v>
      </x:c>
      <x:c r="F31" s="21" t="n">
        <x:f>IF(E31="","",C31*E31/1000)</x:f>
        <x:v>1.6</x:v>
      </x:c>
      <x:c r="G31" s="1"/>
      <x:c r="H31" s="1"/>
    </x:row>
    <x:row r="32" ht="23" customHeight="1">
      <x:c r="A32" s="1"/>
      <x:c r="B32" s="1" t="str">
        <x:v>Instant coffee</x:v>
      </x:c>
      <x:c r="C32" s="18" t="n">
        <x:v>1.5</x:v>
      </x:c>
      <x:c r="D32" s="16" t="n">
        <x:v>0</x:v>
      </x:c>
      <x:c r="E32" s="22" t="n">
        <x:v>2000</x:v>
      </x:c>
      <x:c r="F32" s="21" t="n">
        <x:f>IF(E32="","",C32*E32/1000)</x:f>
        <x:v>3</x:v>
      </x:c>
      <x:c r="G32" s="1"/>
      <x:c r="H32" s="1"/>
    </x:row>
    <x:row r="33" ht="23" customHeight="1">
      <x:c r="A33" s="1"/>
      <x:c r="B33" s="1" t="str">
        <x:v>Flavour / masking</x:v>
      </x:c>
      <x:c r="C33" s="18" t="n">
        <x:v>0.35</x:v>
      </x:c>
      <x:c r="D33" s="16" t="n">
        <x:v>0</x:v>
      </x:c>
      <x:c r="E33" s="22" t="n">
        <x:v>4000</x:v>
      </x:c>
      <x:c r="F33" s="21" t="n">
        <x:f>IF(E33="","",C33*E33/1000)</x:f>
        <x:v>1.4</x:v>
      </x:c>
      <x:c r="G33" s="1"/>
      <x:c r="H33" s="1"/>
    </x:row>
    <x:row r="34" ht="23" customHeight="1">
      <x:c r="A34" s="1"/>
      <x:c r="B34" s="1" t="str">
        <x:v>B12 + D premix reserve</x:v>
      </x:c>
      <x:c r="C34" s="18" t="n">
        <x:v>0.25</x:v>
      </x:c>
      <x:c r="D34" s="16" t="n">
        <x:v>0</x:v>
      </x:c>
      <x:c r="E34" s="22" t="n">
        <x:v>6000</x:v>
      </x:c>
      <x:c r="F34" s="21" t="n">
        <x:f>IF(E34="","",C34*E34/1000)</x:f>
        <x:v>1.5</x:v>
      </x:c>
      <x:c r="G34" s="1"/>
      <x:c r="H34" s="1"/>
    </x:row>
    <x:row r="35" ht="23" customHeight="1">
      <x:c r="A35" s="1"/>
      <x:c r="B35" s="1" t="str">
        <x:v>Emulsifier / stabiliser</x:v>
      </x:c>
      <x:c r="C35" s="18" t="n">
        <x:v>0.15</x:v>
      </x:c>
      <x:c r="D35" s="16" t="n">
        <x:v>0</x:v>
      </x:c>
      <x:c r="E35" s="22" t="n">
        <x:v>1500</x:v>
      </x:c>
      <x:c r="F35" s="21" t="n">
        <x:f>IF(E35="","",C35*E35/1000)</x:f>
        <x:v>0.225</x:v>
      </x:c>
      <x:c r="G35" s="1"/>
      <x:c r="H35" s="1"/>
    </x:row>
    <x:row r="36" ht="23" customHeight="1">
      <x:c r="A36" s="1"/>
      <x:c r="B36" s="1" t="str">
        <x:v>Sweetener system</x:v>
      </x:c>
      <x:c r="C36" s="18" t="n">
        <x:v>0.08</x:v>
      </x:c>
      <x:c r="D36" s="16" t="n">
        <x:v>0</x:v>
      </x:c>
      <x:c r="E36" s="22" t="n">
        <x:v>5000</x:v>
      </x:c>
      <x:c r="F36" s="21" t="n">
        <x:f>IF(E36="","",C36*E36/1000)</x:f>
        <x:v>0.4</x:v>
      </x:c>
      <x:c r="G36" s="1"/>
      <x:c r="H36" s="1"/>
    </x:row>
    <x:row r="37" ht="23" customHeight="1">
      <x:c r="A37" s="1"/>
      <x:c r="B37" s="1" t="str">
        <x:v>Salt</x:v>
      </x:c>
      <x:c r="C37" s="18" t="n">
        <x:v>0.03</x:v>
      </x:c>
      <x:c r="D37" s="16" t="n">
        <x:v>0</x:v>
      </x:c>
      <x:c r="E37" s="22" t="n">
        <x:v>30</x:v>
      </x:c>
      <x:c r="F37" s="21" t="n">
        <x:f>IF(E37="","",C37*E37/1000)</x:f>
        <x:v>0.0008999999999999999</x:v>
      </x:c>
      <x:c r="G37" s="1"/>
      <x:c r="H37" s="1"/>
    </x:row>
    <x:row r="38" ht="23" customHeight="1">
      <x:c r="A38" s="1"/>
      <x:c r="B38" s="9" t="str">
        <x:v>Ingredients total</x:v>
      </x:c>
      <x:c r="C38" s="27" t="n">
        <x:f>SUM(C27:C37)</x:f>
        <x:v>24.797499999999996</x:v>
      </x:c>
      <x:c r="D38" s="28" t="n">
        <x:f>SUMPRODUCT(C27:C37,D27:D37)</x:f>
        <x:v>14.999999999999996</x:v>
      </x:c>
      <x:c r="E38" s="29"/>
      <x:c r="F38" s="29" t="n">
        <x:f>IF(COUNTBLANK(E27:E37)&gt;0,"",SUM(F27:F37))</x:f>
        <x:v>27.785275</x:v>
      </x:c>
      <x:c r="G38" s="1"/>
      <x:c r="H38" s="1"/>
    </x:row>
    <x:row r="39" ht="23" customHeight="1">
      <x:c r="A39" s="1"/>
      <x:c r="B39" s="1" t="str">
        <x:v>Ingredient yield loss</x:v>
      </x:c>
      <x:c r="C39" s="16" t="n">
        <x:v>0.02</x:v>
      </x:c>
      <x:c r="D39" s="2"/>
      <x:c r="E39" s="21"/>
      <x:c r="F39" s="21" t="n">
        <x:f>IF(F38="","",F38/(1-C39)-F38)</x:f>
        <x:v>0.5670464285714303</x:v>
      </x:c>
      <x:c r="G39" s="1"/>
      <x:c r="H39" s="1"/>
    </x:row>
    <x:row r="40" ht="23" customHeight="1">
      <x:c r="A40" s="1"/>
      <x:c r="B40" s="1" t="str">
        <x:v>Beverage processing per serving</x:v>
      </x:c>
      <x:c r="C40" s="2"/>
      <x:c r="D40" s="2"/>
      <x:c r="E40" s="21"/>
      <x:c r="F40" s="22" t="n">
        <x:v>3</x:v>
      </x:c>
      <x:c r="G40" s="1"/>
      <x:c r="H40" s="1"/>
    </x:row>
    <x:row r="41" ht="23" customHeight="1">
      <x:c r="A41" s="1"/>
      <x:c r="B41" s="1" t="str">
        <x:v>Batch release tests / servings</x:v>
      </x:c>
      <x:c r="C41" s="5" t="n">
        <x:v>40000</x:v>
      </x:c>
      <x:c r="D41" s="2" t="n">
        <x:f>$C$17*1000/SUM(C27:C29)*(1-$C$39)</x:f>
        <x:v>14050.179211469536</x:v>
      </x:c>
      <x:c r="E41" s="21"/>
      <x:c r="F41" s="21" t="n">
        <x:f>C41/D41</x:f>
        <x:v>2.846938775510204</x:v>
      </x:c>
      <x:c r="G41" s="1"/>
      <x:c r="H41" s="1" t="str">
        <x:v>INR40,000 test allowance divided by theoretical saleable servings from the 250kg protein order.</x:v>
      </x:c>
    </x:row>
    <x:row r="42" ht="23" customHeight="1">
      <x:c r="A42" s="1"/>
      <x:c r="B42" s="1" t="str">
        <x:v>Pouch + inbound + contingency</x:v>
      </x:c>
      <x:c r="C42" s="5" t="n">
        <x:v>2.5</x:v>
      </x:c>
      <x:c r="D42" s="5" t="n">
        <x:v>1</x:v>
      </x:c>
      <x:c r="E42" s="22" t="n">
        <x:v>3</x:v>
      </x:c>
      <x:c r="F42" s="21" t="n">
        <x:f>SUM(C42:E42)</x:f>
        <x:v>6.5</x:v>
      </x:c>
      <x:c r="G42" s="1"/>
      <x:c r="H42" s="1" t="str">
        <x:v>Three separate allowances: primary pouch/scoop INR2.50; inbound/storage INR1; unresolved manufacturing costs INR3.</x:v>
      </x:c>
    </x:row>
    <x:row r="43" ht="23" customHeight="1">
      <x:c r="A43" s="1"/>
      <x:c r="B43" s="9" t="str">
        <x:v>Recurring packed cost</x:v>
      </x:c>
      <x:c r="C43" s="10"/>
      <x:c r="D43" s="10"/>
      <x:c r="E43" s="29"/>
      <x:c r="F43" s="29" t="n">
        <x:f>IF(F38="","",SUM(F38:F42))</x:f>
        <x:v>40.69926020408163</x:v>
      </x:c>
      <x:c r="G43" s="1"/>
      <x:c r="H43" s="1"/>
    </x:row>
    <x:row r="44" ht="23" customHeight="1">
      <x:c r="A44" s="1"/>
      <x:c r="B44" s="1" t="str">
        <x:v>Powder mass per 30 servings, g</x:v>
      </x:c>
      <x:c r="C44" s="2"/>
      <x:c r="D44" s="2"/>
      <x:c r="E44" s="21"/>
      <x:c r="F44" s="21" t="n">
        <x:f>C38*30</x:f>
        <x:v>743.9249999999998</x:v>
      </x:c>
      <x:c r="G44" s="1"/>
      <x:c r="H44" s="1" t="str">
        <x:v>Approximate development mass, not a pack specification. Sweetener/premix dosing rates are placeholders.</x:v>
      </x:c>
    </x:row>
    <x:row r="45" ht="23" customHeight="1">
      <x:c r="A45" s="1"/>
      <x:c r="B45" s="1"/>
      <x:c r="C45" s="2"/>
      <x:c r="D45" s="2"/>
      <x:c r="E45" s="2"/>
      <x:c r="F45" s="2"/>
      <x:c r="G45" s="1"/>
      <x:c r="H45" s="1"/>
    </x:row>
    <x:row r="46" ht="26" customHeight="1">
      <x:c r="A46" s="1"/>
      <x:c r="B46" s="14" t="str">
        <x:v>Commercial assumptions</x:v>
      </x:c>
      <x:c r="C46" s="15"/>
      <x:c r="D46" s="15"/>
      <x:c r="E46" s="15"/>
      <x:c r="F46" s="15"/>
      <x:c r="G46" s="1"/>
      <x:c r="H46" s="1"/>
    </x:row>
    <x:row r="47" ht="23" customHeight="1">
      <x:c r="A47" s="1"/>
      <x:c r="B47" s="1" t="str">
        <x:v>Output GST assumption</x:v>
      </x:c>
      <x:c r="C47" s="16" t="n">
        <x:v>0.05</x:v>
      </x:c>
      <x:c r="D47" s="2"/>
      <x:c r="E47" s="2"/>
      <x:c r="F47" s="2"/>
      <x:c r="G47" s="1"/>
      <x:c r="H47" s="1"/>
    </x:row>
    <x:row r="48" ht="23" customHeight="1">
      <x:c r="A48" s="1"/>
      <x:c r="B48" s="1" t="str">
        <x:v>Servings per order</x:v>
      </x:c>
      <x:c r="C48" s="5" t="n">
        <x:v>30</x:v>
      </x:c>
      <x:c r="D48" s="2"/>
      <x:c r="E48" s="2"/>
      <x:c r="F48" s="2"/>
      <x:c r="G48" s="1"/>
      <x:c r="H48" s="1"/>
    </x:row>
    <x:row r="49" ht="23" customHeight="1">
      <x:c r="A49" s="1"/>
      <x:c r="B49" s="1" t="str">
        <x:v>Outbound delivery + handling / order</x:v>
      </x:c>
      <x:c r="C49" s="5" t="n">
        <x:v>145</x:v>
      </x:c>
      <x:c r="D49" s="2"/>
      <x:c r="E49" s="2"/>
      <x:c r="F49" s="2"/>
      <x:c r="G49" s="1"/>
      <x:c r="H49" s="1"/>
    </x:row>
    <x:row r="50" ht="23" customHeight="1">
      <x:c r="A50" s="1"/>
      <x:c r="B50" s="1" t="str">
        <x:v>Payment fee / customer payment</x:v>
      </x:c>
      <x:c r="C50" s="16" t="n">
        <x:v>0.02</x:v>
      </x:c>
      <x:c r="D50" s="2"/>
      <x:c r="E50" s="2"/>
      <x:c r="F50" s="2"/>
      <x:c r="G50" s="1"/>
      <x:c r="H50" s="1"/>
    </x:row>
    <x:row r="51" ht="23" customHeight="1">
      <x:c r="A51" s="1"/>
      <x:c r="B51" s="1" t="str">
        <x:v>Returns reserve / net sales</x:v>
      </x:c>
      <x:c r="C51" s="16" t="n">
        <x:v>0.02</x:v>
      </x:c>
      <x:c r="D51" s="2"/>
      <x:c r="E51" s="2"/>
      <x:c r="F51" s="2"/>
      <x:c r="G51" s="1"/>
      <x:c r="H51" s="1"/>
    </x:row>
    <x:row r="52" ht="23" customHeight="1">
      <x:c r="A52" s="1"/>
      <x:c r="B52" s="1" t="str">
        <x:v>Target contribution / net sales</x:v>
      </x:c>
      <x:c r="C52" s="16" t="n">
        <x:v>0.2</x:v>
      </x:c>
      <x:c r="D52" s="2"/>
      <x:c r="E52" s="2"/>
      <x:c r="F52" s="2"/>
      <x:c r="G52" s="1"/>
      <x:c r="H52" s="1"/>
    </x:row>
    <x:row r="53" ht="23" customHeight="1">
      <x:c r="A53" s="1"/>
      <x:c r="B53" s="1" t="str">
        <x:v>First acquisition spend / order</x:v>
      </x:c>
      <x:c r="C53" s="5" t="n">
        <x:v>600</x:v>
      </x:c>
      <x:c r="D53" s="2"/>
      <x:c r="E53" s="2"/>
      <x:c r="F53" s="2"/>
      <x:c r="G53" s="1"/>
      <x:c r="H53" s="1"/>
    </x:row>
    <x:row r="54" ht="23" customHeight="1">
      <x:c r="A54" s="1"/>
      <x:c r="B54" s="1" t="str">
        <x:v>Repeat retention spend / order</x:v>
      </x:c>
      <x:c r="C54" s="5" t="n">
        <x:v>90</x:v>
      </x:c>
      <x:c r="D54" s="2"/>
      <x:c r="E54" s="2"/>
      <x:c r="F54" s="2"/>
      <x:c r="G54" s="1"/>
      <x:c r="H54" s="1"/>
    </x:row>
    <x:row r="55" ht="23" customHeight="1">
      <x:c r="A55" s="1"/>
      <x:c r="B55" s="1" t="str">
        <x:v>Development recovery per serving</x:v>
      </x:c>
      <x:c r="C55" s="5" t="n">
        <x:v>5</x:v>
      </x:c>
      <x:c r="D55" s="2"/>
      <x:c r="E55" s="2"/>
      <x:c r="F55" s="2"/>
      <x:c r="G55" s="1"/>
      <x:c r="H55" s="1"/>
    </x:row>
    <x:row r="56" ht="23" customHeight="1">
      <x:c r="A56" s="1"/>
      <x:c r="B56" s="1" t="str">
        <x:v>One consumer price / serving</x:v>
      </x:c>
      <x:c r="C56" s="5" t="n">
        <x:v>79</x:v>
      </x:c>
      <x:c r="D56" s="2"/>
      <x:c r="E56" s="2"/>
      <x:c r="F56" s="2"/>
      <x:c r="G56" s="1"/>
      <x:c r="H56" s="1"/>
    </x:row>
    <x:row r="57" ht="23" customHeight="1">
      <x:c r="A57" s="1"/>
      <x:c r="B57" s="1"/>
      <x:c r="C57" s="2"/>
      <x:c r="D57" s="2"/>
      <x:c r="E57" s="2"/>
      <x:c r="F57" s="2"/>
      <x:c r="G57" s="1"/>
      <x:c r="H57" s="1"/>
    </x:row>
    <x:row r="58" ht="26" customHeight="1">
      <x:c r="A58" s="1"/>
      <x:c r="B58" s="14" t="str">
        <x:v>Economics at the same customer price</x:v>
      </x:c>
      <x:c r="C58" s="15" t="str">
        <x:v>First order</x:v>
      </x:c>
      <x:c r="D58" s="15" t="str">
        <x:v>Repeat order</x:v>
      </x:c>
      <x:c r="E58" s="2"/>
      <x:c r="F58" s="2"/>
      <x:c r="G58" s="1"/>
      <x:c r="H58" s="1"/>
    </x:row>
    <x:row r="59" ht="23" customHeight="1">
      <x:c r="A59" s="1"/>
      <x:c r="B59" s="1" t="str">
        <x:v>Customer selling price</x:v>
      </x:c>
      <x:c r="C59" s="23" t="n">
        <x:f>$C$56</x:f>
        <x:v>79</x:v>
      </x:c>
      <x:c r="D59" s="23" t="n">
        <x:f>$C$56</x:f>
        <x:v>79</x:v>
      </x:c>
      <x:c r="E59" s="2"/>
      <x:c r="F59" s="2"/>
      <x:c r="G59" s="1"/>
      <x:c r="H59" s="1"/>
    </x:row>
    <x:row r="60" ht="23" customHeight="1">
      <x:c r="A60" s="1"/>
      <x:c r="B60" s="1" t="str">
        <x:v>Sales excluding GST</x:v>
      </x:c>
      <x:c r="C60" s="23" t="n">
        <x:f>C59/(1+$C$47)</x:f>
        <x:v>75.23809523809524</x:v>
      </x:c>
      <x:c r="D60" s="23" t="n">
        <x:f>D59/(1+$C$47)</x:f>
        <x:v>75.23809523809524</x:v>
      </x:c>
      <x:c r="E60" s="2"/>
      <x:c r="F60" s="2"/>
      <x:c r="G60" s="1"/>
      <x:c r="H60" s="1"/>
    </x:row>
    <x:row r="61" ht="23" customHeight="1">
      <x:c r="A61" s="1"/>
      <x:c r="B61" s="1" t="str">
        <x:v>Acquisition / retention allocation</x:v>
      </x:c>
      <x:c r="C61" s="23" t="n">
        <x:f>$C$53/$C$48</x:f>
        <x:v>20</x:v>
      </x:c>
      <x:c r="D61" s="23" t="n">
        <x:f>$C$54/$C$48</x:f>
        <x:v>3</x:v>
      </x:c>
      <x:c r="E61" s="2"/>
      <x:c r="F61" s="2"/>
      <x:c r="G61" s="1"/>
      <x:c r="H61" s="1"/>
    </x:row>
    <x:row r="62" ht="23" customHeight="1">
      <x:c r="A62" s="1"/>
      <x:c r="B62" s="1" t="str">
        <x:v>Contribution after development allocation</x:v>
      </x:c>
      <x:c r="C62" s="23" t="n">
        <x:f>IF($F$43="","",C60*(1-$C$51)-C59*$C$50-$F$43-$C$55-$C$49/$C$48-C61)</x:f>
        <x:v>1.6207397959183716</x:v>
      </x:c>
      <x:c r="D62" s="23" t="n">
        <x:f>IF($F$43="","",D60*(1-$C$51)-D59*$C$50-$F$43-$C$55-$C$49/$C$48-D61)</x:f>
        <x:v>18.62073979591837</x:v>
      </x:c>
      <x:c r="E62" s="2"/>
      <x:c r="F62" s="2"/>
      <x:c r="G62" s="1"/>
      <x:c r="H62" s="1"/>
    </x:row>
    <x:row r="63" ht="23" customHeight="1">
      <x:c r="A63" s="1"/>
      <x:c r="B63" s="1" t="str">
        <x:v>Contribution / net sales</x:v>
      </x:c>
      <x:c r="C63" s="19" t="n">
        <x:f>IF(C62="","",C62/C60)</x:f>
        <x:v>0.021541478300180886</x:v>
      </x:c>
      <x:c r="D63" s="19" t="n">
        <x:f>IF(D62="","",D62/D60)</x:f>
        <x:v>0.24749084538878846</x:v>
      </x:c>
      <x:c r="E63" s="2"/>
      <x:c r="F63" s="2"/>
      <x:c r="G63" s="1"/>
      <x:c r="H63" s="1"/>
    </x:row>
    <x:row r="64" ht="23" customHeight="1">
      <x:c r="A64" s="1"/>
      <x:c r="B64" s="1" t="str">
        <x:v>Price needed for target contribution</x:v>
      </x:c>
      <x:c r="C64" s="23" t="n">
        <x:f>IF($F$43="","",($F$43+$C$55+$C$49/$C$48+C61)/((1-$C$51-$C$52)/(1+$C$47)-$C$50))</x:f>
        <x:v>97.57473414266893</x:v>
      </x:c>
      <x:c r="D64" s="23" t="n">
        <x:f>IF($F$43="","",($F$43+$C$55+$C$49/$C$48+D61)/((1-$C$51-$C$52)/(1+$C$47)-$C$50))</x:f>
        <x:v>74.0569475814041</x:v>
      </x:c>
      <x:c r="E64" s="2"/>
      <x:c r="F64" s="2"/>
      <x:c r="G64" s="1"/>
      <x:c r="H64" s="1"/>
    </x:row>
    <x:row r="65" ht="23" customHeight="1">
      <x:c r="A65" s="1"/>
      <x:c r="B65" s="1"/>
      <x:c r="C65" s="2"/>
      <x:c r="D65" s="2"/>
      <x:c r="E65" s="2"/>
      <x:c r="F65" s="2"/>
      <x:c r="G65" s="1"/>
      <x:c r="H65" s="1"/>
    </x:row>
    <x:row r="66" ht="23" customHeight="1">
      <x:c r="A66" s="1"/>
      <x:c r="B66" s="1" t="str">
        <x:v>Upfront development budget, INR</x:v>
      </x:c>
      <x:c r="C66" s="5" t="n">
        <x:v>300000</x:v>
      </x:c>
      <x:c r="D66" s="2"/>
      <x:c r="E66" s="2"/>
      <x:c r="F66" s="2"/>
      <x:c r="G66" s="1"/>
      <x:c r="H66" s="1"/>
    </x:row>
    <x:row r="67" ht="23" customHeight="1">
      <x:c r="A67" s="1"/>
      <x:c r="B67" s="1" t="str">
        <x:v>Development cash / first-trial serving</x:v>
      </x:c>
      <x:c r="C67" s="2" t="n">
        <x:f>C66/D41</x:f>
        <x:v>21.35204081632653</x:v>
      </x:c>
      <x:c r="D67" s="2"/>
      <x:c r="E67" s="2"/>
      <x:c r="F67" s="2"/>
      <x:c r="G67" s="1"/>
      <x:c r="H67" s="1" t="str">
        <x:v>Separate from the INR5 long-run recovery assumption. Full first-trial cash burden is higher than recurring cost.</x:v>
      </x:c>
    </x:row>
    <x:row r="68" ht="23" customHeight="1">
      <x:c r="A68" s="1"/>
      <x:c r="B68" s="1"/>
      <x:c r="C68" s="2"/>
      <x:c r="D68" s="2"/>
      <x:c r="E68" s="2"/>
      <x:c r="F68" s="2"/>
      <x:c r="G68" s="1"/>
      <x:c r="H68" s="1"/>
    </x:row>
    <x:row r="69" ht="26" customHeight="1">
      <x:c r="A69" s="1"/>
      <x:c r="B69" s="14" t="str">
        <x:v>Route key</x:v>
      </x:c>
      <x:c r="C69" s="15"/>
      <x:c r="D69" s="15"/>
      <x:c r="E69" s="15"/>
      <x:c r="F69" s="15"/>
      <x:c r="G69" s="1"/>
      <x:c r="H69" s="1"/>
    </x:row>
    <x:row r="70" ht="23" customHeight="1">
      <x:c r="A70" s="1"/>
      <x:c r="B70" s="1" t="str">
        <x:v>1: MPC only; milk powder supplies part of the 15g protein.</x:v>
      </x:c>
      <x:c r="C70" s="2"/>
      <x:c r="D70" s="2"/>
      <x:c r="E70" s="2"/>
      <x:c r="F70" s="2"/>
      <x:c r="G70" s="1"/>
      <x:c r="H70" s="1"/>
    </x:row>
    <x:row r="71" ht="23" customHeight="1">
      <x:c r="A71" s="1"/>
      <x:c r="B71" s="1" t="str">
        <x:v>2: MPC + 1g protein from whey.</x:v>
      </x:c>
      <x:c r="C71" s="2"/>
      <x:c r="D71" s="2"/>
      <x:c r="E71" s="2"/>
      <x:c r="F71" s="2"/>
      <x:c r="G71" s="1"/>
      <x:c r="H71" s="1"/>
    </x:row>
    <x:row r="72" ht="23" customHeight="1">
      <x:c r="A72" s="1"/>
      <x:c r="B72" s="1" t="str">
        <x:v>3: MPC + 4g protein from listed yeast; sensory suitability remains unverified.</x:v>
      </x:c>
      <x:c r="C72" s="2"/>
      <x:c r="D72" s="2"/>
      <x:c r="E72" s="2"/>
      <x:c r="F72" s="2"/>
      <x:c r="G72" s="1"/>
      <x:c r="H72" s="1"/>
    </x:row>
    <x:row r="73" ht="23" customHeight="1">
      <x:c r="A73" s="1"/>
      <x:c r="B73" s="1" t="str">
        <x:v>4: MPC + 4g protein from soluble S80-A; cost stays unavailable until its price is entered.</x:v>
      </x:c>
      <x:c r="C73" s="2"/>
      <x:c r="D73" s="2"/>
      <x:c r="E73" s="2"/>
      <x:c r="F73" s="2"/>
      <x:c r="G73" s="1"/>
      <x:c r="H73" s="1"/>
    </x:row>
    <x:row r="74" ht="23" customHeight="1">
      <x:c r="A74" s="1"/>
      <x:c r="B74" s="1"/>
      <x:c r="C74" s="2"/>
      <x:c r="D74" s="2"/>
      <x:c r="E74" s="2"/>
      <x:c r="F74" s="2"/>
      <x:c r="G74" s="1"/>
      <x:c r="H74" s="1"/>
    </x:row>
    <x:row r="75" ht="23" customHeight="1">
      <x:c r="A75" s="1"/>
      <x:c r="B75" s="1" t="str">
        <x:v>All formulations are cost architectures. No taste, hot-mixing or shelf-life claims are validated.</x:v>
      </x:c>
      <x:c r="C75" s="2"/>
      <x:c r="D75" s="2"/>
      <x:c r="E75" s="2"/>
      <x:c r="F75" s="2"/>
      <x:c r="G75" s="1"/>
      <x:c r="H75" s="1"/>
    </x:row>
    <x:row r="76" ht="23" customHeight="1">
      <x:c r="A76" s="1"/>
      <x:c r="B76" s="1" t="str">
        <x:v>Input prices exclude recoverable tax. Verify landed rates, exact protein basis and premix scope.</x:v>
      </x:c>
      <x:c r="C76" s="2"/>
      <x:c r="D76" s="2"/>
      <x:c r="E76" s="2"/>
      <x:c r="F76" s="2"/>
      <x:c r="G76" s="1"/>
      <x:c r="H76" s="1"/>
    </x:row>
    <x:row r="77" ht="23" customHeight="1">
      <x:c r="A77" s="1"/>
      <x:c r="B77" s="1" t="str">
        <x:v>Proposed consumer preparation: 200mL, normal spoon, measured preparation temperatures; no boiling claim.</x:v>
      </x:c>
      <x:c r="C77" s="2"/>
      <x:c r="D77" s="2"/>
      <x:c r="E77" s="2"/>
      <x:c r="F77" s="2"/>
      <x:c r="G77" s="1"/>
      <x:c r="H77" s="1"/>
    </x:row>
    <x:row r="78" ht="23" customHeight="1">
      <x:c r="A78" s="1"/>
      <x:c r="B78" s="1"/>
      <x:c r="C78" s="2"/>
      <x:c r="D78" s="2"/>
      <x:c r="E78" s="2"/>
      <x:c r="F78" s="2"/>
      <x:c r="G78" s="1"/>
      <x:c r="H78" s="1"/>
    </x:row>
    <x:row r="79" ht="23" customHeight="1">
      <x:c r="A79" s="1"/>
      <x:c r="B79" s="1"/>
      <x:c r="C79" s="2"/>
      <x:c r="D79" s="2"/>
      <x:c r="E79" s="2"/>
      <x:c r="F79" s="2"/>
      <x:c r="G79" s="1"/>
      <x:c r="H79" s="1"/>
    </x:row>
    <x:row r="80" ht="23" customHeight="1">
      <x:c r="A80" s="1"/>
      <x:c r="B80" s="1"/>
      <x:c r="C80" s="2"/>
      <x:c r="D80" s="2"/>
      <x:c r="E80" s="2"/>
      <x:c r="F80" s="2"/>
      <x:c r="G80" s="1"/>
      <x:c r="H80" s="1"/>
    </x:row>
    <x:row r="81" ht="23" customHeight="1">
      <x:c r="A81" s="1"/>
      <x:c r="B81" s="1"/>
      <x:c r="C81" s="2"/>
      <x:c r="D81" s="2"/>
      <x:c r="E81" s="2"/>
      <x:c r="F81" s="2"/>
      <x:c r="G81" s="1"/>
      <x:c r="H81" s="1"/>
    </x:row>
    <x:row r="82" ht="23" customHeight="1">
      <x:c r="A82" s="1"/>
      <x:c r="B82" s="1"/>
      <x:c r="C82" s="2"/>
      <x:c r="D82" s="2"/>
      <x:c r="E82" s="2"/>
      <x:c r="F82" s="2"/>
      <x:c r="G82" s="1"/>
      <x:c r="H82" s="1"/>
    </x:row>
    <x:row r="83" ht="23" customHeight="1">
      <x:c r="A83" s="1"/>
      <x:c r="B83" s="1"/>
      <x:c r="C83" s="2"/>
      <x:c r="D83" s="2"/>
      <x:c r="E83" s="2"/>
      <x:c r="F83" s="2"/>
      <x:c r="G83" s="1"/>
      <x:c r="H83" s="1"/>
    </x:row>
    <x:row r="84" ht="23" customHeight="1">
      <x:c r="A84" s="1"/>
      <x:c r="B84" s="1"/>
      <x:c r="C84" s="2"/>
      <x:c r="D84" s="2"/>
      <x:c r="E84" s="2"/>
      <x:c r="F84" s="2"/>
      <x:c r="G84" s="1"/>
      <x:c r="H84" s="1"/>
    </x:row>
    <x:row r="85" ht="23" customHeight="1">
      <x:c r="A85" s="1"/>
      <x:c r="B85" s="1"/>
      <x:c r="C85" s="2"/>
      <x:c r="D85" s="2"/>
      <x:c r="E85" s="2"/>
      <x:c r="F85" s="2"/>
      <x:c r="G85" s="1"/>
      <x:c r="H85" s="1"/>
    </x:row>
  </x:sheetData>
  <x:mergeCells>
    <x:mergeCell ref="D5:F5"/>
    <x:mergeCell ref="C9:F9"/>
  </x:mergeCells>
  <x:conditionalFormatting sqref="C8:C8">
    <x:cfRule type="cellIs" dxfId="0" priority="1" operator="lessThan">
      <x:formula>0</x:formula>
    </x:cfRule>
  </x:conditionalFormatting>
  <x:dataValidations count="1">
    <x:dataValidation type="list" sqref="C5">
      <x:formula1>"1,2,3,4"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3" hidden="0" customWidth="1"/>
    <x:col min="8" max="8" width="115" hidden="0" customWidth="1"/>
  </x:cols>
  <x:sheetData>
    <x:row r="1" ht="23" customHeight="1">
      <x:c r="A1" s="1"/>
      <x:c r="B1" s="1"/>
      <x:c r="C1" s="2"/>
      <x:c r="D1" s="2"/>
      <x:c r="E1" s="2"/>
      <x:c r="F1" s="2"/>
      <x:c r="G1" s="1"/>
      <x:c r="H1" s="1"/>
    </x:row>
    <x:row r="2" ht="23" customHeight="1">
      <x:c r="A2" s="1"/>
      <x:c r="B2" s="3" t="str">
        <x:v>Supplier evidence and request brief</x:v>
      </x:c>
      <x:c r="C2" s="2"/>
      <x:c r="D2" s="2"/>
      <x:c r="E2" s="2"/>
      <x:c r="F2" s="2"/>
      <x:c r="G2" s="1"/>
      <x:c r="H2" s="1"/>
    </x:row>
    <x:row r="3" ht="23" customHeight="1">
      <x:c r="A3" s="1"/>
      <x:c r="B3" s="1" t="str">
        <x:v>No supplier has confirmed a dated delivered quote for the 250kg trial.</x:v>
      </x:c>
      <x:c r="C3" s="2"/>
      <x:c r="D3" s="2"/>
      <x:c r="E3" s="2"/>
      <x:c r="F3" s="2"/>
      <x:c r="G3" s="1"/>
      <x:c r="H3" s="1"/>
    </x:row>
    <x:row r="4" ht="23" customHeight="1">
      <x:c r="A4" s="1"/>
      <x:c r="B4" s="1"/>
      <x:c r="C4" s="2"/>
      <x:c r="D4" s="2"/>
      <x:c r="E4" s="2"/>
      <x:c r="F4" s="2"/>
      <x:c r="G4" s="1"/>
      <x:c r="H4" s="1"/>
    </x:row>
    <x:row r="5" ht="26" customHeight="1">
      <x:c r="A5" s="1"/>
      <x:c r="B5" s="14" t="str">
        <x:v>Supplier / grade</x:v>
      </x:c>
      <x:c r="C5" s="15" t="str">
        <x:v>INR / kg</x:v>
      </x:c>
      <x:c r="D5" s="15" t="str">
        <x:v>Pack / order condition</x:v>
      </x:c>
      <x:c r="E5" s="15" t="str">
        <x:v>Evidence status</x:v>
      </x:c>
      <x:c r="F5" s="15" t="str">
        <x:v>Source</x:v>
      </x:c>
      <x:c r="G5" s="1"/>
      <x:c r="H5" s="1"/>
    </x:row>
    <x:row r="6" ht="60" customHeight="1">
      <x:c r="A6" s="1"/>
      <x:c r="B6" s="32" t="str">
        <x:v>MPC80: Thirthraj Consolidated</x:v>
      </x:c>
      <x:c r="C6" s="35" t="n">
        <x:v>1050</x:v>
      </x:c>
      <x:c r="D6" s="34" t="str">
        <x:v>25kg stated; MOQ units inconsistent</x:v>
      </x:c>
      <x:c r="E6" s="34" t="str">
        <x:v>Unconfirmed listing</x:v>
      </x:c>
      <x:c r="F6" s="33"/>
      <x:c r="G6" s="32"/>
      <x:c r="H6" s="32" t="str">
        <x:v>https://www.tradeindia.com/products/80-milk-protein-concentrate-powder-6648239.html</x:v>
      </x:c>
    </x:row>
    <x:row r="7" ht="60" customHeight="1">
      <x:c r="A7" s="1"/>
      <x:c r="B7" s="32" t="str">
        <x:v>MPC: EnNutrica / Dindigul</x:v>
      </x:c>
      <x:c r="C7" s="35" t="n">
        <x:v>880</x:v>
      </x:c>
      <x:c r="D7" s="34" t="str">
        <x:v>2 tonnes advertised</x:v>
      </x:c>
      <x:c r="E7" s="34" t="str">
        <x:v>Outside trial quantity</x:v>
      </x:c>
      <x:c r="F7" s="33"/>
      <x:c r="G7" s="32"/>
      <x:c r="H7" s="32" t="str">
        <x:v>https://www.exportersindia.com/product-detail/paper-box-milk-protein-concentrates-4837886.htm</x:v>
      </x:c>
    </x:row>
    <x:row r="8" ht="60" customHeight="1">
      <x:c r="A8" s="1"/>
      <x:c r="B8" s="32" t="str">
        <x:v>MPC80: EnNutrica Formula 8+</x:v>
      </x:c>
      <x:c r="C8" s="35"/>
      <x:c r="D8" s="34" t="str">
        <x:v>20kg bags in manufacturer PDS</x:v>
      </x:c>
      <x:c r="E8" s="34" t="str">
        <x:v>Grade candidate; no firm price</x:v>
      </x:c>
      <x:c r="F8" s="33"/>
      <x:c r="G8" s="32"/>
      <x:c r="H8" s="32" t="str">
        <x:v>https://www.ennutrica.com/wp-content/uploads/2019/02/PDS-Formula-8-by-EnNutrica-1.pdf</x:v>
      </x:c>
    </x:row>
    <x:row r="9" ht="60" customHeight="1">
      <x:c r="A9" s="1"/>
      <x:c r="B9" s="32" t="str">
        <x:v>Yeast: EasyBuy AngeoPro</x:v>
      </x:c>
      <x:c r="C9" s="35" t="n">
        <x:v>899</x:v>
      </x:c>
      <x:c r="D9" s="34" t="str">
        <x:v>25kg bags; price marked ++</x:v>
      </x:c>
      <x:c r="E9" s="34" t="str">
        <x:v>Exact grade unconfirmed</x:v>
      </x:c>
      <x:c r="F9" s="33"/>
      <x:c r="G9" s="32"/>
      <x:c r="H9" s="32" t="str">
        <x:v>https://easybuyingredients.com/product/angeopro-yeast-protein-angel-yeast/</x:v>
      </x:c>
    </x:row>
    <x:row r="10" ht="60" customHeight="1">
      <x:c r="A10" s="1"/>
      <x:c r="B10" s="32" t="str">
        <x:v>Yeast: Angel S80-A</x:v>
      </x:c>
      <x:c r="C10" s="35"/>
      <x:c r="D10" s="34" t="str">
        <x:v>India stock / MOQ not verified</x:v>
      </x:c>
      <x:c r="E10" s="34" t="str">
        <x:v>Beverage candidate; price unknown</x:v>
      </x:c>
      <x:c r="F10" s="33"/>
      <x:c r="G10" s="32"/>
      <x:c r="H10" s="32" t="str">
        <x:v>https://en.angelyeast.com/news/yeast-protein/angel-yeast-at-vitafoods-europe-2026.html</x:v>
      </x:c>
    </x:row>
    <x:row r="11" ht="23" customHeight="1">
      <x:c r="A11" s="1"/>
      <x:c r="B11" s="1"/>
      <x:c r="C11" s="2"/>
      <x:c r="D11" s="2"/>
      <x:c r="E11" s="2"/>
      <x:c r="F11" s="2"/>
      <x:c r="G11" s="1"/>
      <x:c r="H11" s="1"/>
    </x:row>
    <x:row r="12" ht="23" customHeight="1">
      <x:c r="A12" s="1"/>
      <x:c r="B12" s="1"/>
      <x:c r="C12" s="2"/>
      <x:c r="D12" s="2"/>
      <x:c r="E12" s="2"/>
      <x:c r="F12" s="2"/>
      <x:c r="G12" s="1"/>
      <x:c r="H12" s="1"/>
    </x:row>
    <x:row r="13" ht="26" customHeight="1">
      <x:c r="A13" s="1"/>
      <x:c r="B13" s="14" t="str">
        <x:v>Quote request ready for supplier confirmation</x:v>
      </x:c>
      <x:c r="C13" s="15"/>
      <x:c r="D13" s="15"/>
      <x:c r="E13" s="15"/>
      <x:c r="F13" s="15"/>
      <x:c r="G13" s="1"/>
      <x:c r="H13" s="1"/>
    </x:row>
    <x:row r="14" ht="23" customHeight="1">
      <x:c r="A14" s="1"/>
      <x:c r="B14" s="1" t="str">
        <x:v>Nurture: instant fortified coffee powder delivering 15g protein per serving; for hot water and hot milk.</x:v>
      </x:c>
      <x:c r="C14" s="2"/>
      <x:c r="D14" s="2"/>
      <x:c r="E14" s="2"/>
      <x:c r="F14" s="2"/>
      <x:c r="G14" s="1"/>
      <x:c r="H14" s="1"/>
    </x:row>
    <x:row r="15" ht="23" customHeight="1">
      <x:c r="A15" s="1"/>
      <x:c r="B15" s="1" t="str">
        <x:v>Trial requirement: 250kg total concentrated-protein ingredients. Quote actual bag multiples and split-order options.</x:v>
      </x:c>
      <x:c r="C15" s="2"/>
      <x:c r="D15" s="2"/>
      <x:c r="E15" s="2"/>
      <x:c r="F15" s="2"/>
      <x:c r="G15" s="1"/>
      <x:c r="H15" s="1"/>
    </x:row>
    <x:row r="16" ht="23" customHeight="1">
      <x:c r="A16" s="1"/>
      <x:c r="B16" s="1" t="str">
        <x:v>MPC suppliers: quote MPC70/MPC80 beverage grades, including instant/modified grades where appropriate.</x:v>
      </x:c>
      <x:c r="C16" s="2"/>
      <x:c r="D16" s="2"/>
      <x:c r="E16" s="2"/>
      <x:c r="F16" s="2"/>
      <x:c r="G16" s="1"/>
      <x:c r="H16" s="1"/>
    </x:row>
    <x:row r="17" ht="23" customHeight="1">
      <x:c r="A17" s="1"/>
      <x:c r="B17" s="1" t="str">
        <x:v>Yeast suppliers: quote exact F80/F84 and S80-A grades separately. Do not substitute one price or specification for another.</x:v>
      </x:c>
      <x:c r="C17" s="2"/>
      <x:c r="D17" s="2"/>
      <x:c r="E17" s="2"/>
      <x:c r="F17" s="2"/>
      <x:c r="G17" s="1"/>
      <x:c r="H17" s="1"/>
    </x:row>
    <x:row r="18" ht="23" customHeight="1">
      <x:c r="A18" s="1"/>
      <x:c r="B18" s="1" t="str">
        <x:v>Provide ex-GST unit rate, GST/HSN, delivered freight, MOQ, bag size, stock, origin, batch age, lead time and quote validity.</x:v>
      </x:c>
      <x:c r="C18" s="2"/>
      <x:c r="D18" s="2"/>
      <x:c r="E18" s="2"/>
      <x:c r="F18" s="2"/>
      <x:c r="G18" s="1"/>
      <x:c r="H18" s="1"/>
    </x:row>
    <x:row r="19" ht="23" customHeight="1">
      <x:c r="A19" s="1"/>
      <x:c r="B19" s="1" t="str">
        <x:v>Delivery PIN remains to be supplied. No delivered-price conclusion is possible until freight is confirmed.</x:v>
      </x:c>
      <x:c r="C19" s="2"/>
      <x:c r="D19" s="2"/>
      <x:c r="E19" s="2"/>
      <x:c r="F19" s="2"/>
      <x:c r="G19" s="1"/>
      <x:c r="H19" s="1"/>
    </x:row>
    <x:row r="20" ht="23" customHeight="1">
      <x:c r="A20" s="1"/>
      <x:c r="B20" s="1" t="str">
        <x:v>Provide current signed TDS and batch COA; protein on as-sold and dry bases, moisture and nitrogen conversion factor.</x:v>
      </x:c>
      <x:c r="C20" s="2"/>
      <x:c r="D20" s="2"/>
      <x:c r="E20" s="2"/>
      <x:c r="F20" s="2"/>
      <x:c r="G20" s="1"/>
      <x:c r="H20" s="1"/>
    </x:row>
    <x:row r="21" ht="23" customHeight="1">
      <x:c r="A21" s="1"/>
      <x:c r="B21" s="1" t="str">
        <x:v>Include lactose/carbohydrates, fat, sodium/calcium, allergens, microbiological/contaminant specifications and Indian use documentation.</x:v>
      </x:c>
      <x:c r="C21" s="2"/>
      <x:c r="D21" s="2"/>
      <x:c r="E21" s="2"/>
      <x:c r="F21" s="2"/>
      <x:c r="G21" s="1"/>
      <x:c r="H21" s="1"/>
    </x:row>
    <x:row r="22" ht="23" customHeight="1">
      <x:c r="A22" s="1"/>
      <x:c r="B22" s="1" t="str">
        <x:v>Describe preparation method, temperature/pH limits, recommended protein concentration and required shear/hydration time.</x:v>
      </x:c>
      <x:c r="C22" s="2"/>
      <x:c r="D22" s="2"/>
      <x:c r="E22" s="2"/>
      <x:c r="F22" s="2"/>
      <x:c r="G22" s="1"/>
      <x:c r="H22" s="1"/>
    </x:row>
    <x:row r="23" ht="23" customHeight="1">
      <x:c r="A23" s="1"/>
      <x:c r="B23" s="1" t="str">
        <x:v>Supply representative evaluation samples before a 250kg purchase. Quote beverage application support separately.</x:v>
      </x:c>
      <x:c r="C23" s="2"/>
      <x:c r="D23" s="2"/>
      <x:c r="E23" s="2"/>
      <x:c r="F23" s="2"/>
      <x:c r="G23" s="1"/>
      <x:c r="H23" s="1"/>
    </x:row>
    <x:row r="24" ht="23" customHeight="1">
      <x:c r="A24" s="1"/>
      <x:c r="B24" s="1" t="str">
        <x:v>Provide an unfortified coffee prototype and quote premix integration, instantisation and pilot processing where available.</x:v>
      </x:c>
      <x:c r="C24" s="2"/>
      <x:c r="D24" s="2"/>
      <x:c r="E24" s="2"/>
      <x:c r="F24" s="2"/>
      <x:c r="G24" s="1"/>
      <x:c r="H24" s="1"/>
    </x:row>
    <x:row r="25" ht="23" customHeight="1">
      <x:c r="A25" s="1"/>
      <x:c r="B25" s="1"/>
      <x:c r="C25" s="2"/>
      <x:c r="D25" s="2"/>
      <x:c r="E25" s="2"/>
      <x:c r="F25" s="2"/>
      <x:c r="G25" s="1"/>
      <x:c r="H25" s="1"/>
    </x:row>
    <x:row r="26" ht="23" customHeight="1">
      <x:c r="A26" s="1"/>
      <x:c r="B26" s="1"/>
      <x:c r="C26" s="2"/>
      <x:c r="D26" s="2"/>
      <x:c r="E26" s="2"/>
      <x:c r="F26" s="2"/>
      <x:c r="G26" s="1"/>
      <x:c r="H26" s="1"/>
    </x:row>
    <x:row r="27" ht="26" customHeight="1">
      <x:c r="A27" s="1"/>
      <x:c r="B27" s="14" t="str">
        <x:v>Bench gates to establish suitability</x:v>
      </x:c>
      <x:c r="C27" s="15"/>
      <x:c r="D27" s="15"/>
      <x:c r="E27" s="15"/>
      <x:c r="F27" s="15"/>
      <x:c r="G27" s="1"/>
      <x:c r="H27" s="1"/>
    </x:row>
    <x:row r="28" ht="23" customHeight="1">
      <x:c r="A28" s="1"/>
      <x:c r="B28" s="1" t="str">
        <x:v>Compare MPC-only, MPC + small whey contribution, and MPC + 4g yeast-protein contribution at matched protein/sweetness.</x:v>
      </x:c>
      <x:c r="C28" s="2"/>
      <x:c r="D28" s="2"/>
      <x:c r="E28" s="2"/>
      <x:c r="F28" s="2"/>
      <x:c r="G28" s="1"/>
      <x:c r="H28" s="1"/>
    </x:row>
    <x:row r="29" ht="23" customHeight="1">
      <x:c r="A29" s="1"/>
      <x:c r="B29" s="1" t="str">
        <x:v>Use one complete fortified formula in both 200mL water and milk; assess 60/75/85C preparation conditions.</x:v>
      </x:c>
      <x:c r="C29" s="2"/>
      <x:c r="D29" s="2"/>
      <x:c r="E29" s="2"/>
      <x:c r="F29" s="2"/>
      <x:c r="G29" s="1"/>
      <x:c r="H29" s="1"/>
    </x:row>
    <x:row r="30" ht="23" customHeight="1">
      <x:c r="A30" s="1"/>
      <x:c r="B30" s="1" t="str">
        <x:v>Test normal spoon preparation; record required stirring and any slurry step. Cool samples appropriately for sensory assessment.</x:v>
      </x:c>
      <x:c r="C30" s="2"/>
      <x:c r="D30" s="2"/>
      <x:c r="E30" s="2"/>
      <x:c r="F30" s="2"/>
      <x:c r="G30" s="1"/>
      <x:c r="H30" s="1"/>
    </x:row>
    <x:row r="31" ht="23" customHeight="1">
      <x:c r="A31" s="1"/>
      <x:c r="B31" s="1" t="str">
        <x:v>Check immediate, 5-minute and 15-minute lumps, sediment, foam, thickening, separation and flavour/aftertaste.</x:v>
      </x:c>
      <x:c r="C31" s="2"/>
      <x:c r="D31" s="2"/>
      <x:c r="E31" s="2"/>
      <x:c r="F31" s="2"/>
      <x:c r="G31" s="1"/>
      <x:c r="H31" s="1"/>
    </x:row>
    <x:row r="32" ht="23" customHeight="1">
      <x:c r="A32" s="1"/>
      <x:c r="B32" s="1" t="str">
        <x:v>Blind repeated-use testing with target customers must establish acceptable taste and real coffee-occasion replacement.</x:v>
      </x:c>
      <x:c r="C32" s="2"/>
      <x:c r="D32" s="2"/>
      <x:c r="E32" s="2"/>
      <x:c r="F32" s="2"/>
      <x:c r="G32" s="1"/>
      <x:c r="H32" s="1"/>
    </x:row>
    <x:row r="33" ht="23" customHeight="1">
      <x:c r="A33" s="1"/>
      <x:c r="B33" s="1" t="str">
        <x:v>Repeat with stored powder and the final nutrient premix. Confirm nutrients analytically and use actual manufacturing yields.</x:v>
      </x:c>
      <x:c r="C33" s="2"/>
      <x:c r="D33" s="2"/>
      <x:c r="E33" s="2"/>
      <x:c r="F33" s="2"/>
      <x:c r="G33" s="1"/>
      <x:c r="H33" s="1"/>
    </x:row>
    <x:row r="34" ht="23" customHeight="1">
      <x:c r="A34" s="1"/>
      <x:c r="B34" s="1" t="str">
        <x:v>Record all failures and any extra processing/flavour/stabilisation cost before confirming the INR45 ceiling.</x:v>
      </x:c>
      <x:c r="C34" s="2"/>
      <x:c r="D34" s="2"/>
      <x:c r="E34" s="2"/>
      <x:c r="F34" s="2"/>
      <x:c r="G34" s="1"/>
      <x:c r="H34" s="1"/>
    </x:row>
    <x:row r="35" ht="23" customHeight="1">
      <x:c r="A35" s="1"/>
      <x:c r="B35" s="1"/>
      <x:c r="C35" s="2"/>
      <x:c r="D35" s="2"/>
      <x:c r="E35" s="2"/>
      <x:c r="F35" s="2"/>
      <x:c r="G35" s="1"/>
      <x:c r="H35" s="1"/>
    </x:row>
    <x:row r="36" ht="23" customHeight="1">
      <x:c r="A36" s="1"/>
      <x:c r="B36" s="1"/>
      <x:c r="C36" s="2"/>
      <x:c r="D36" s="2"/>
      <x:c r="E36" s="2"/>
      <x:c r="F36" s="2"/>
      <x:c r="G36" s="1"/>
      <x:c r="H36" s="1"/>
    </x:row>
    <x:row r="37" ht="23" customHeight="1">
      <x:c r="A37" s="1"/>
      <x:c r="B37" s="1" t="str">
        <x:v>Manufacturer F80 data: protein specification differs from a blanket 80% as-sold assumption.</x:v>
      </x:c>
      <x:c r="C37" s="2"/>
      <x:c r="D37" s="2"/>
      <x:c r="E37" s="2"/>
      <x:c r="F37" s="2"/>
      <x:c r="G37" s="1"/>
      <x:c r="H37" s="1" t="str">
        <x:v>https://ss3-production-public.s3.amazonaws.com/seller-document/171/A23BF7792FA6C9EAA9B20AF225FAFA45.pdf</x:v>
      </x:c>
    </x:row>
    <x:row r="38" ht="23" customHeight="1">
      <x:c r="A38" s="1"/>
      <x:c r="B38" s="1" t="str">
        <x:v>MPC rehydration research: high protein does not by itself establish quick spoon mixing.</x:v>
      </x:c>
      <x:c r="C38" s="2"/>
      <x:c r="D38" s="2"/>
      <x:c r="E38" s="2"/>
      <x:c r="F38" s="2"/>
      <x:c r="G38" s="1"/>
      <x:c r="H38" s="1" t="str">
        <x:v>https://pubmed.ncbi.nlm.nih.gov/32098298/</x:v>
      </x:c>
    </x:row>
    <x:row r="39" ht="23" customHeight="1">
      <x:c r="A39" s="1"/>
      <x:c r="B39" s="1" t="str">
        <x:v>Price evidence is separate from proof of grade suitability or finished-product performance.</x:v>
      </x:c>
      <x:c r="C39" s="2"/>
      <x:c r="D39" s="2"/>
      <x:c r="E39" s="2"/>
      <x:c r="F39" s="2"/>
      <x:c r="G39" s="1"/>
      <x:c r="H39" s="1"/>
    </x:row>
    <x:row r="40" ht="23" customHeight="1">
      <x:c r="A40" s="1"/>
      <x:c r="B40" s="1"/>
      <x:c r="C40" s="2"/>
      <x:c r="D40" s="2"/>
      <x:c r="E40" s="2"/>
      <x:c r="F40" s="2"/>
      <x:c r="G40" s="1"/>
      <x:c r="H40" s="1"/>
    </x:row>
    <x:row r="41" ht="23" customHeight="1">
      <x:c r="A41" s="1"/>
      <x:c r="B41" s="1"/>
      <x:c r="C41" s="2"/>
      <x:c r="D41" s="2"/>
      <x:c r="E41" s="2"/>
      <x:c r="F41" s="2"/>
      <x:c r="G41" s="1"/>
      <x:c r="H41" s="1"/>
    </x:row>
    <x:row r="42" ht="23" customHeight="1">
      <x:c r="A42" s="1"/>
      <x:c r="B42" s="1"/>
      <x:c r="C42" s="2"/>
      <x:c r="D42" s="2"/>
      <x:c r="E42" s="2"/>
      <x:c r="F42" s="2"/>
      <x:c r="G42" s="1"/>
      <x:c r="H42" s="1"/>
    </x:row>
    <x:row r="43" ht="23" customHeight="1">
      <x:c r="A43" s="1"/>
      <x:c r="B43" s="1"/>
      <x:c r="C43" s="2"/>
      <x:c r="D43" s="2"/>
      <x:c r="E43" s="2"/>
      <x:c r="F43" s="2"/>
      <x:c r="G43" s="1"/>
      <x:c r="H43" s="1"/>
    </x:row>
    <x:row r="44" ht="23" customHeight="1">
      <x:c r="A44" s="1"/>
      <x:c r="B44" s="1"/>
      <x:c r="C44" s="2"/>
      <x:c r="D44" s="2"/>
      <x:c r="E44" s="2"/>
      <x:c r="F44" s="2"/>
      <x:c r="G44" s="1"/>
      <x:c r="H44" s="1"/>
    </x:row>
    <x:row r="45" ht="23" customHeight="1">
      <x:c r="A45" s="1"/>
      <x:c r="B45" s="1"/>
      <x:c r="C45" s="2"/>
      <x:c r="D45" s="2"/>
      <x:c r="E45" s="2"/>
      <x:c r="F45" s="2"/>
      <x:c r="G45" s="1"/>
      <x:c r="H45" s="1"/>
    </x:row>
    <x:row r="46" ht="23" customHeight="1">
      <x:c r="A46" s="1"/>
      <x:c r="B46" s="1"/>
      <x:c r="C46" s="2"/>
      <x:c r="D46" s="2"/>
      <x:c r="E46" s="2"/>
      <x:c r="F46" s="2"/>
      <x:c r="G46" s="1"/>
      <x:c r="H46" s="1"/>
    </x:row>
    <x:row r="47" ht="23" customHeight="1">
      <x:c r="A47" s="1"/>
      <x:c r="B47" s="1"/>
      <x:c r="C47" s="2"/>
      <x:c r="D47" s="2"/>
      <x:c r="E47" s="2"/>
      <x:c r="F47" s="2"/>
      <x:c r="G47" s="1"/>
      <x:c r="H47" s="1"/>
    </x:row>
    <x:row r="48" ht="23" customHeight="1">
      <x:c r="A48" s="1"/>
      <x:c r="B48" s="1"/>
      <x:c r="C48" s="2"/>
      <x:c r="D48" s="2"/>
      <x:c r="E48" s="2"/>
      <x:c r="F48" s="2"/>
      <x:c r="G48" s="1"/>
      <x:c r="H48" s="1"/>
    </x:row>
    <x:row r="49" ht="23" customHeight="1">
      <x:c r="A49" s="1"/>
      <x:c r="B49" s="1"/>
      <x:c r="C49" s="2"/>
      <x:c r="D49" s="2"/>
      <x:c r="E49" s="2"/>
      <x:c r="F49" s="2"/>
      <x:c r="G49" s="1"/>
      <x:c r="H49" s="1"/>
    </x:row>
    <x:row r="50" ht="23" customHeight="1">
      <x:c r="A50" s="1"/>
      <x:c r="B50" s="1"/>
      <x:c r="C50" s="2"/>
      <x:c r="D50" s="2"/>
      <x:c r="E50" s="2"/>
      <x:c r="F50" s="2"/>
      <x:c r="G50" s="1"/>
      <x:c r="H50" s="1"/>
    </x:row>
    <x:row r="51" ht="23" customHeight="1">
      <x:c r="A51" s="1"/>
      <x:c r="B51" s="1"/>
      <x:c r="C51" s="2"/>
      <x:c r="D51" s="2"/>
      <x:c r="E51" s="2"/>
      <x:c r="F51" s="2"/>
      <x:c r="G51" s="1"/>
      <x:c r="H51" s="1"/>
    </x:row>
    <x:row r="52" ht="23" customHeight="1">
      <x:c r="A52" s="1"/>
      <x:c r="B52" s="1"/>
      <x:c r="C52" s="2"/>
      <x:c r="D52" s="2"/>
      <x:c r="E52" s="2"/>
      <x:c r="F52" s="2"/>
      <x:c r="G52" s="1"/>
      <x:c r="H52" s="1"/>
    </x:row>
    <x:row r="53" ht="23" customHeight="1">
      <x:c r="A53" s="1"/>
      <x:c r="B53" s="1"/>
      <x:c r="C53" s="2"/>
      <x:c r="D53" s="2"/>
      <x:c r="E53" s="2"/>
      <x:c r="F53" s="2"/>
      <x:c r="G53" s="1"/>
      <x:c r="H53" s="1"/>
    </x:row>
    <x:row r="54" ht="23" customHeight="1">
      <x:c r="A54" s="1"/>
      <x:c r="B54" s="1"/>
      <x:c r="C54" s="2"/>
      <x:c r="D54" s="2"/>
      <x:c r="E54" s="2"/>
      <x:c r="F54" s="2"/>
      <x:c r="G54" s="1"/>
      <x:c r="H54" s="1"/>
    </x:row>
    <x:row r="55" ht="23" customHeight="1">
      <x:c r="A55" s="1"/>
      <x:c r="B55" s="1"/>
      <x:c r="C55" s="2"/>
      <x:c r="D55" s="2"/>
      <x:c r="E55" s="2"/>
      <x:c r="F55" s="2"/>
      <x:c r="G55" s="1"/>
      <x:c r="H55" s="1"/>
    </x:row>
    <x:row r="56" ht="23" customHeight="1">
      <x:c r="A56" s="1"/>
      <x:c r="B56" s="1"/>
      <x:c r="C56" s="2"/>
      <x:c r="D56" s="2"/>
      <x:c r="E56" s="2"/>
      <x:c r="F56" s="2"/>
      <x:c r="G56" s="1"/>
      <x:c r="H56" s="1"/>
    </x:row>
    <x:row r="57" ht="23" customHeight="1">
      <x:c r="A57" s="1"/>
      <x:c r="B57" s="1"/>
      <x:c r="C57" s="2"/>
      <x:c r="D57" s="2"/>
      <x:c r="E57" s="2"/>
      <x:c r="F57" s="2"/>
      <x:c r="G57" s="1"/>
      <x:c r="H57" s="1"/>
    </x:row>
    <x:row r="58" ht="23" customHeight="1">
      <x:c r="A58" s="1"/>
      <x:c r="B58" s="1"/>
      <x:c r="C58" s="2"/>
      <x:c r="D58" s="2"/>
      <x:c r="E58" s="2"/>
      <x:c r="F58" s="2"/>
      <x:c r="G58" s="1"/>
      <x:c r="H58" s="1"/>
    </x:row>
    <x:row r="59" ht="23" customHeight="1">
      <x:c r="A59" s="1"/>
      <x:c r="B59" s="1"/>
      <x:c r="C59" s="2"/>
      <x:c r="D59" s="2"/>
      <x:c r="E59" s="2"/>
      <x:c r="F59" s="2"/>
      <x:c r="G59" s="1"/>
      <x:c r="H59" s="1"/>
    </x:row>
    <x:row r="60" ht="23" customHeight="1">
      <x:c r="A60" s="1"/>
      <x:c r="B60" s="1"/>
      <x:c r="C60" s="2"/>
      <x:c r="D60" s="2"/>
      <x:c r="E60" s="2"/>
      <x:c r="F60" s="2"/>
      <x:c r="G60" s="1"/>
      <x:c r="H60" s="1"/>
    </x:row>
    <x:row r="61" ht="23" customHeight="1">
      <x:c r="A61" s="1"/>
      <x:c r="B61" s="1"/>
      <x:c r="C61" s="2"/>
      <x:c r="D61" s="2"/>
      <x:c r="E61" s="2"/>
      <x:c r="F61" s="2"/>
      <x:c r="G61" s="1"/>
      <x:c r="H61" s="1"/>
    </x:row>
    <x:row r="62" ht="23" customHeight="1">
      <x:c r="A62" s="1"/>
      <x:c r="B62" s="1"/>
      <x:c r="C62" s="2"/>
      <x:c r="D62" s="2"/>
      <x:c r="E62" s="2"/>
      <x:c r="F62" s="2"/>
      <x:c r="G62" s="1"/>
      <x:c r="H62" s="1"/>
    </x:row>
    <x:row r="63" ht="23" customHeight="1">
      <x:c r="A63" s="1"/>
      <x:c r="B63" s="1"/>
      <x:c r="C63" s="2"/>
      <x:c r="D63" s="2"/>
      <x:c r="E63" s="2"/>
      <x:c r="F63" s="2"/>
      <x:c r="G63" s="1"/>
      <x:c r="H63" s="1"/>
    </x:row>
    <x:row r="64" ht="23" customHeight="1">
      <x:c r="A64" s="1"/>
      <x:c r="B64" s="1"/>
      <x:c r="C64" s="2"/>
      <x:c r="D64" s="2"/>
      <x:c r="E64" s="2"/>
      <x:c r="F64" s="2"/>
      <x:c r="G64" s="1"/>
      <x:c r="H64" s="1"/>
    </x:row>
    <x:row r="65" ht="23" customHeight="1">
      <x:c r="A65" s="1"/>
      <x:c r="B65" s="1"/>
      <x:c r="C65" s="2"/>
      <x:c r="D65" s="2"/>
      <x:c r="E65" s="2"/>
      <x:c r="F65" s="2"/>
      <x:c r="G65" s="1"/>
      <x:c r="H65" s="1"/>
    </x:row>
    <x:row r="66" ht="23" customHeight="1">
      <x:c r="A66" s="1"/>
      <x:c r="B66" s="1"/>
      <x:c r="C66" s="2"/>
      <x:c r="D66" s="2"/>
      <x:c r="E66" s="2"/>
      <x:c r="F66" s="2"/>
      <x:c r="G66" s="1"/>
      <x:c r="H66" s="1"/>
    </x:row>
    <x:row r="67" ht="23" customHeight="1">
      <x:c r="A67" s="1"/>
      <x:c r="B67" s="1"/>
      <x:c r="C67" s="2"/>
      <x:c r="D67" s="2"/>
      <x:c r="E67" s="2"/>
      <x:c r="F67" s="2"/>
      <x:c r="G67" s="1"/>
      <x:c r="H67" s="1"/>
    </x:row>
    <x:row r="68" ht="23" customHeight="1">
      <x:c r="A68" s="1"/>
      <x:c r="B68" s="1"/>
      <x:c r="C68" s="2"/>
      <x:c r="D68" s="2"/>
      <x:c r="E68" s="2"/>
      <x:c r="F68" s="2"/>
      <x:c r="G68" s="1"/>
      <x:c r="H68" s="1"/>
    </x:row>
    <x:row r="69" ht="23" customHeight="1">
      <x:c r="A69" s="1"/>
      <x:c r="B69" s="1"/>
      <x:c r="C69" s="2"/>
      <x:c r="D69" s="2"/>
      <x:c r="E69" s="2"/>
      <x:c r="F69" s="2"/>
      <x:c r="G69" s="1"/>
      <x:c r="H69" s="1"/>
    </x:row>
    <x:row r="70" ht="23" customHeight="1">
      <x:c r="A70" s="1"/>
      <x:c r="B70" s="1"/>
      <x:c r="C70" s="2"/>
      <x:c r="D70" s="2"/>
      <x:c r="E70" s="2"/>
      <x:c r="F70" s="2"/>
      <x:c r="G70" s="1"/>
      <x:c r="H70" s="1"/>
    </x:row>
    <x:row r="71" ht="23" customHeight="1">
      <x:c r="A71" s="1"/>
      <x:c r="B71" s="1"/>
      <x:c r="C71" s="2"/>
      <x:c r="D71" s="2"/>
      <x:c r="E71" s="2"/>
      <x:c r="F71" s="2"/>
      <x:c r="G71" s="1"/>
      <x:c r="H71" s="1"/>
    </x:row>
    <x:row r="72" ht="23" customHeight="1">
      <x:c r="A72" s="1"/>
      <x:c r="B72" s="1"/>
      <x:c r="C72" s="2"/>
      <x:c r="D72" s="2"/>
      <x:c r="E72" s="2"/>
      <x:c r="F72" s="2"/>
      <x:c r="G72" s="1"/>
      <x:c r="H72" s="1"/>
    </x:row>
    <x:row r="73" ht="23" customHeight="1">
      <x:c r="A73" s="1"/>
      <x:c r="B73" s="1"/>
      <x:c r="C73" s="2"/>
      <x:c r="D73" s="2"/>
      <x:c r="E73" s="2"/>
      <x:c r="F73" s="2"/>
      <x:c r="G73" s="1"/>
      <x:c r="H73" s="1"/>
    </x:row>
    <x:row r="74" ht="23" customHeight="1">
      <x:c r="A74" s="1"/>
      <x:c r="B74" s="1"/>
      <x:c r="C74" s="2"/>
      <x:c r="D74" s="2"/>
      <x:c r="E74" s="2"/>
      <x:c r="F74" s="2"/>
      <x:c r="G74" s="1"/>
      <x:c r="H74" s="1"/>
    </x:row>
    <x:row r="75" ht="23" customHeight="1">
      <x:c r="A75" s="1"/>
      <x:c r="B75" s="1"/>
      <x:c r="C75" s="2"/>
      <x:c r="D75" s="2"/>
      <x:c r="E75" s="2"/>
      <x:c r="F75" s="2"/>
      <x:c r="G75" s="1"/>
      <x:c r="H75" s="1"/>
    </x:row>
    <x:row r="76" ht="23" customHeight="1">
      <x:c r="A76" s="1"/>
      <x:c r="B76" s="1"/>
      <x:c r="C76" s="2"/>
      <x:c r="D76" s="2"/>
      <x:c r="E76" s="2"/>
      <x:c r="F76" s="2"/>
      <x:c r="G76" s="1"/>
      <x:c r="H76" s="1"/>
    </x:row>
    <x:row r="77" ht="23" customHeight="1">
      <x:c r="A77" s="1"/>
      <x:c r="B77" s="1"/>
      <x:c r="C77" s="2"/>
      <x:c r="D77" s="2"/>
      <x:c r="E77" s="2"/>
      <x:c r="F77" s="2"/>
      <x:c r="G77" s="1"/>
      <x:c r="H77" s="1"/>
    </x:row>
    <x:row r="78" ht="23" customHeight="1">
      <x:c r="A78" s="1"/>
      <x:c r="B78" s="1"/>
      <x:c r="C78" s="2"/>
      <x:c r="D78" s="2"/>
      <x:c r="E78" s="2"/>
      <x:c r="F78" s="2"/>
      <x:c r="G78" s="1"/>
      <x:c r="H78" s="1"/>
    </x:row>
    <x:row r="79" ht="23" customHeight="1">
      <x:c r="A79" s="1"/>
      <x:c r="B79" s="1"/>
      <x:c r="C79" s="2"/>
      <x:c r="D79" s="2"/>
      <x:c r="E79" s="2"/>
      <x:c r="F79" s="2"/>
      <x:c r="G79" s="1"/>
      <x:c r="H79" s="1"/>
    </x:row>
    <x:row r="80" ht="23" customHeight="1">
      <x:c r="A80" s="1"/>
      <x:c r="B80" s="1"/>
      <x:c r="C80" s="2"/>
      <x:c r="D80" s="2"/>
      <x:c r="E80" s="2"/>
      <x:c r="F80" s="2"/>
      <x:c r="G80" s="1"/>
      <x:c r="H80" s="1"/>
    </x:row>
    <x:row r="81" ht="23" customHeight="1">
      <x:c r="A81" s="1"/>
      <x:c r="B81" s="1"/>
      <x:c r="C81" s="2"/>
      <x:c r="D81" s="2"/>
      <x:c r="E81" s="2"/>
      <x:c r="F81" s="2"/>
      <x:c r="G81" s="1"/>
      <x:c r="H81" s="1"/>
    </x:row>
    <x:row r="82" ht="23" customHeight="1">
      <x:c r="A82" s="1"/>
      <x:c r="B82" s="1"/>
      <x:c r="C82" s="2"/>
      <x:c r="D82" s="2"/>
      <x:c r="E82" s="2"/>
      <x:c r="F82" s="2"/>
      <x:c r="G82" s="1"/>
      <x:c r="H82" s="1"/>
    </x:row>
    <x:row r="83" ht="23" customHeight="1">
      <x:c r="A83" s="1"/>
      <x:c r="B83" s="1"/>
      <x:c r="C83" s="2"/>
      <x:c r="D83" s="2"/>
      <x:c r="E83" s="2"/>
      <x:c r="F83" s="2"/>
      <x:c r="G83" s="1"/>
      <x:c r="H83" s="1"/>
    </x:row>
    <x:row r="84" ht="23" customHeight="1">
      <x:c r="A84" s="1"/>
      <x:c r="B84" s="1"/>
      <x:c r="C84" s="2"/>
      <x:c r="D84" s="2"/>
      <x:c r="E84" s="2"/>
      <x:c r="F84" s="2"/>
      <x:c r="G84" s="1"/>
      <x:c r="H84" s="1"/>
    </x:row>
    <x:row r="85" ht="23" customHeight="1">
      <x:c r="A85" s="1"/>
      <x:c r="B85" s="1"/>
      <x:c r="C85" s="2"/>
      <x:c r="D85" s="2"/>
      <x:c r="E85" s="2"/>
      <x:c r="F85" s="2"/>
      <x:c r="G85" s="1"/>
      <x:c r="H85" s="1"/>
    </x:row>
  </x:sheetData>
  <x:pageMargins left="0.7" right="0.7" top="0.75" bottom="0.75" header="0.3" footer="0.3"/>
</x:worksheet>
</file>